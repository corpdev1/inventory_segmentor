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chasedt\Desktop\"/>
    </mc:Choice>
  </mc:AlternateContent>
  <bookViews>
    <workbookView xWindow="0" yWindow="0" windowWidth="19180" windowHeight="7130"/>
  </bookViews>
  <sheets>
    <sheet name="Main Sizing Pricing" sheetId="2" r:id="rId1"/>
    <sheet name="Calculate Ingestion Rate" sheetId="3"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7" i="2" l="1"/>
  <c r="C11" i="3" l="1"/>
  <c r="D11" i="3"/>
  <c r="C10" i="3"/>
  <c r="D10" i="3" s="1"/>
  <c r="D9" i="3"/>
  <c r="F85" i="2" l="1"/>
  <c r="D85" i="2"/>
  <c r="F84" i="2"/>
  <c r="D84" i="2"/>
  <c r="F83" i="2"/>
  <c r="D83" i="2"/>
  <c r="F82" i="2"/>
  <c r="D82" i="2"/>
  <c r="F81" i="2"/>
  <c r="D81" i="2"/>
  <c r="F80" i="2"/>
  <c r="D80" i="2"/>
  <c r="F79" i="2"/>
  <c r="D79" i="2"/>
  <c r="F78" i="2"/>
  <c r="D78" i="2"/>
  <c r="F77" i="2"/>
  <c r="H100" i="2" l="1"/>
  <c r="H98" i="2"/>
  <c r="C17" i="2" l="1"/>
  <c r="C65" i="2"/>
  <c r="H93" i="2"/>
  <c r="L25" i="2" l="1"/>
  <c r="L32" i="2"/>
  <c r="L30" i="2"/>
  <c r="H95" i="2"/>
  <c r="H96" i="2"/>
  <c r="H94" i="2"/>
  <c r="C51" i="2"/>
  <c r="C52" i="2" s="1"/>
  <c r="C58" i="2"/>
  <c r="L31" i="2"/>
  <c r="C59" i="2"/>
  <c r="L29" i="2"/>
  <c r="L26" i="2"/>
  <c r="L28" i="2"/>
  <c r="L33" i="2"/>
  <c r="L27" i="2"/>
  <c r="C68" i="2"/>
  <c r="C64" i="2"/>
  <c r="H89" i="2"/>
  <c r="G89" i="2"/>
  <c r="C71" i="2"/>
  <c r="C53" i="2"/>
  <c r="G100" i="2" l="1"/>
  <c r="G98" i="2"/>
  <c r="C93" i="2"/>
  <c r="C98" i="2"/>
  <c r="C100" i="2"/>
  <c r="J25" i="2"/>
  <c r="J30" i="2"/>
  <c r="J32" i="2"/>
  <c r="H97" i="2"/>
  <c r="G95" i="2"/>
  <c r="G93" i="2"/>
  <c r="G94" i="2"/>
  <c r="I89" i="2"/>
  <c r="C54" i="2"/>
  <c r="C94" i="2"/>
  <c r="C55" i="2"/>
  <c r="G101" i="2"/>
  <c r="C66" i="2"/>
  <c r="C95" i="2"/>
  <c r="J28" i="2"/>
  <c r="J29" i="2"/>
  <c r="C60" i="2"/>
  <c r="C61" i="2" s="1"/>
  <c r="G96" i="2"/>
  <c r="J31" i="2"/>
  <c r="C97" i="2"/>
  <c r="G99" i="2"/>
  <c r="J33" i="2"/>
  <c r="J26" i="2"/>
  <c r="J27" i="2"/>
  <c r="C99" i="2"/>
  <c r="C101" i="2"/>
  <c r="C96" i="2"/>
  <c r="G97" i="2"/>
  <c r="K28" i="2" l="1"/>
  <c r="K32" i="2"/>
  <c r="K30" i="2"/>
  <c r="F93" i="2"/>
  <c r="F98" i="2"/>
  <c r="F100" i="2"/>
  <c r="I16" i="2"/>
  <c r="I18" i="2"/>
  <c r="H16" i="2"/>
  <c r="H30" i="2" s="1"/>
  <c r="H18" i="2"/>
  <c r="H32" i="2" s="1"/>
  <c r="E100" i="2"/>
  <c r="D100" i="2" s="1"/>
  <c r="E98" i="2"/>
  <c r="D98" i="2" s="1"/>
  <c r="K31" i="2"/>
  <c r="K25" i="2"/>
  <c r="K33" i="2"/>
  <c r="K29" i="2"/>
  <c r="K26" i="2"/>
  <c r="I15" i="2"/>
  <c r="L15" i="2" s="1"/>
  <c r="I11" i="2"/>
  <c r="E99" i="2"/>
  <c r="D99" i="2" s="1"/>
  <c r="E93" i="2"/>
  <c r="D93" i="2" s="1"/>
  <c r="H11" i="2"/>
  <c r="H25" i="2" s="1"/>
  <c r="I19" i="2"/>
  <c r="I33" i="2" s="1"/>
  <c r="K27" i="2"/>
  <c r="E95" i="2"/>
  <c r="D95" i="2" s="1"/>
  <c r="E97" i="2"/>
  <c r="D97" i="2" s="1"/>
  <c r="I17" i="2"/>
  <c r="I31" i="2" s="1"/>
  <c r="I13" i="2"/>
  <c r="I27" i="2" s="1"/>
  <c r="H17" i="2"/>
  <c r="H31" i="2" s="1"/>
  <c r="E96" i="2"/>
  <c r="D96" i="2" s="1"/>
  <c r="H19" i="2"/>
  <c r="H33" i="2" s="1"/>
  <c r="H14" i="2"/>
  <c r="H28" i="2" s="1"/>
  <c r="H12" i="2"/>
  <c r="H26" i="2" s="1"/>
  <c r="I29" i="2"/>
  <c r="H15" i="2"/>
  <c r="H29" i="2" s="1"/>
  <c r="I12" i="2"/>
  <c r="I26" i="2" s="1"/>
  <c r="I14" i="2"/>
  <c r="I28" i="2" s="1"/>
  <c r="E101" i="2"/>
  <c r="D101" i="2" s="1"/>
  <c r="E94" i="2"/>
  <c r="D94" i="2" s="1"/>
  <c r="H13" i="2"/>
  <c r="H27" i="2" s="1"/>
  <c r="H99" i="2"/>
  <c r="H101" i="2"/>
  <c r="F99" i="2"/>
  <c r="F101" i="2"/>
  <c r="F94" i="2"/>
  <c r="F96" i="2"/>
  <c r="F97" i="2"/>
  <c r="F95" i="2"/>
  <c r="F18" i="2" l="1"/>
  <c r="G18" i="2" s="1"/>
  <c r="J18" i="2" s="1"/>
  <c r="K18" i="2" s="1"/>
  <c r="F16" i="2"/>
  <c r="G16" i="2" s="1"/>
  <c r="J16" i="2" s="1"/>
  <c r="K16" i="2" s="1"/>
  <c r="I30" i="2"/>
  <c r="L16" i="2"/>
  <c r="L18" i="2"/>
  <c r="I32" i="2"/>
  <c r="F11" i="2"/>
  <c r="G11" i="2" s="1"/>
  <c r="J11" i="2" s="1"/>
  <c r="K11" i="2" s="1"/>
  <c r="L11" i="2"/>
  <c r="I25" i="2"/>
  <c r="L19" i="2"/>
  <c r="L14" i="2"/>
  <c r="L17" i="2"/>
  <c r="L13" i="2"/>
  <c r="L12" i="2"/>
  <c r="F17" i="2"/>
  <c r="G17" i="2" s="1"/>
  <c r="J17" i="2" s="1"/>
  <c r="K17" i="2" s="1"/>
  <c r="F19" i="2"/>
  <c r="F33" i="2" s="1"/>
  <c r="G33" i="2" s="1"/>
  <c r="M33" i="2" s="1"/>
  <c r="F12" i="2"/>
  <c r="F26" i="2" s="1"/>
  <c r="G26" i="2" s="1"/>
  <c r="M26" i="2" s="1"/>
  <c r="F14" i="2"/>
  <c r="F28" i="2" s="1"/>
  <c r="G28" i="2" s="1"/>
  <c r="M28" i="2" s="1"/>
  <c r="N28" i="2" s="1"/>
  <c r="P28" i="2" s="1"/>
  <c r="R28" i="2" s="1"/>
  <c r="F15" i="2"/>
  <c r="F29" i="2" s="1"/>
  <c r="G29" i="2" s="1"/>
  <c r="M29" i="2" s="1"/>
  <c r="O29" i="2" s="1"/>
  <c r="Q29" i="2" s="1"/>
  <c r="F13" i="2"/>
  <c r="G13" i="2" s="1"/>
  <c r="J13" i="2" s="1"/>
  <c r="K13" i="2" s="1"/>
  <c r="F32" i="2" l="1"/>
  <c r="G32" i="2" s="1"/>
  <c r="M32" i="2" s="1"/>
  <c r="F25" i="2"/>
  <c r="G25" i="2" s="1"/>
  <c r="M25" i="2" s="1"/>
  <c r="F30" i="2"/>
  <c r="G30" i="2" s="1"/>
  <c r="M30" i="2" s="1"/>
  <c r="O30" i="2" s="1"/>
  <c r="Q30" i="2" s="1"/>
  <c r="M11" i="2"/>
  <c r="N11" i="2" s="1"/>
  <c r="M18" i="2"/>
  <c r="N18" i="2" s="1"/>
  <c r="M16" i="2"/>
  <c r="N16" i="2" s="1"/>
  <c r="C40" i="2"/>
  <c r="C41" i="2" s="1"/>
  <c r="M13" i="2"/>
  <c r="N13" i="2" s="1"/>
  <c r="M17" i="2"/>
  <c r="N17" i="2" s="1"/>
  <c r="G12" i="2"/>
  <c r="J12" i="2" s="1"/>
  <c r="K12" i="2" s="1"/>
  <c r="M12" i="2" s="1"/>
  <c r="N12" i="2" s="1"/>
  <c r="O28" i="2"/>
  <c r="Q28" i="2" s="1"/>
  <c r="G19" i="2"/>
  <c r="J19" i="2" s="1"/>
  <c r="K19" i="2" s="1"/>
  <c r="M19" i="2" s="1"/>
  <c r="N19" i="2" s="1"/>
  <c r="F27" i="2"/>
  <c r="G27" i="2" s="1"/>
  <c r="M27" i="2" s="1"/>
  <c r="N27" i="2" s="1"/>
  <c r="P27" i="2" s="1"/>
  <c r="R27" i="2" s="1"/>
  <c r="N29" i="2"/>
  <c r="P29" i="2" s="1"/>
  <c r="R29" i="2" s="1"/>
  <c r="F31" i="2"/>
  <c r="G31" i="2" s="1"/>
  <c r="M31" i="2" s="1"/>
  <c r="O31" i="2" s="1"/>
  <c r="Q31" i="2" s="1"/>
  <c r="G15" i="2"/>
  <c r="J15" i="2" s="1"/>
  <c r="K15" i="2" s="1"/>
  <c r="M15" i="2" s="1"/>
  <c r="N15" i="2" s="1"/>
  <c r="G14" i="2"/>
  <c r="J14" i="2" s="1"/>
  <c r="K14" i="2" s="1"/>
  <c r="M14" i="2" s="1"/>
  <c r="N14" i="2" s="1"/>
  <c r="O26" i="2"/>
  <c r="N26" i="2"/>
  <c r="P26" i="2" s="1"/>
  <c r="N33" i="2"/>
  <c r="P33" i="2" s="1"/>
  <c r="R33" i="2" s="1"/>
  <c r="O33" i="2"/>
  <c r="Q33" i="2" s="1"/>
  <c r="N30" i="2" l="1"/>
  <c r="P30" i="2" s="1"/>
  <c r="R30" i="2" s="1"/>
  <c r="N32" i="2"/>
  <c r="P32" i="2" s="1"/>
  <c r="R32" i="2" s="1"/>
  <c r="O32" i="2"/>
  <c r="Q32" i="2" s="1"/>
  <c r="C44" i="2"/>
  <c r="D44" i="2"/>
  <c r="O25" i="2"/>
  <c r="N25" i="2"/>
  <c r="P25" i="2" s="1"/>
  <c r="N31" i="2"/>
  <c r="P31" i="2" s="1"/>
  <c r="R31" i="2" s="1"/>
  <c r="O27" i="2"/>
  <c r="Q27" i="2" s="1"/>
  <c r="R26" i="2"/>
  <c r="Q26" i="2"/>
  <c r="R25" i="2" l="1"/>
  <c r="D46" i="2" s="1"/>
  <c r="E46" i="2" s="1"/>
  <c r="C46" i="2"/>
  <c r="Q25" i="2"/>
  <c r="D45" i="2" s="1"/>
  <c r="E45" i="2" s="1"/>
  <c r="C45" i="2"/>
</calcChain>
</file>

<file path=xl/comments1.xml><?xml version="1.0" encoding="utf-8"?>
<comments xmlns="http://schemas.openxmlformats.org/spreadsheetml/2006/main">
  <authors>
    <author>Thomas, Chase</author>
  </authors>
  <commentList>
    <comment ref="B10" authorId="0" shapeId="0">
      <text>
        <r>
          <rPr>
            <sz val="9"/>
            <color indexed="81"/>
            <rFont val="Tahoma"/>
            <family val="2"/>
          </rPr>
          <t xml:space="preserve">Average data produced to the Kafka cluster. 
This is equivalent to the # of messages per second multiplied by the average message size.
Depending on the use case, Peak data ingest can also be used; however, data transfer costs should be based on average rates.
</t>
        </r>
      </text>
    </comment>
    <comment ref="I10" authorId="0" shapeId="0">
      <text>
        <r>
          <rPr>
            <b/>
            <sz val="9"/>
            <color indexed="81"/>
            <rFont val="Tahoma"/>
            <family val="2"/>
          </rPr>
          <t>Nearest Replica Fetching can reduce Cross AZ costs</t>
        </r>
      </text>
    </comment>
    <comment ref="B11" authorId="0" shapeId="0">
      <text>
        <r>
          <rPr>
            <sz val="9"/>
            <color indexed="81"/>
            <rFont val="Tahoma"/>
            <family val="2"/>
          </rPr>
          <t>Kafka Replication Factor setting</t>
        </r>
      </text>
    </comment>
    <comment ref="B12" authorId="0" shapeId="0">
      <text>
        <r>
          <rPr>
            <sz val="9"/>
            <color indexed="81"/>
            <rFont val="Tahoma"/>
            <family val="2"/>
          </rPr>
          <t>Similar to ingestion rate, but for data out for Kafka consumers.  This number can be higher than the ingestion rate based on the use case.</t>
        </r>
      </text>
    </comment>
    <comment ref="B13" authorId="0" shapeId="0">
      <text>
        <r>
          <rPr>
            <sz val="9"/>
            <color indexed="81"/>
            <rFont val="Tahoma"/>
            <family val="2"/>
          </rPr>
          <t>Kafka retention setting.  How long is data retained within the Kafka cluster.</t>
        </r>
      </text>
    </comment>
    <comment ref="B14" authorId="0" shapeId="0">
      <text>
        <r>
          <rPr>
            <sz val="9"/>
            <color indexed="81"/>
            <rFont val="Tahoma"/>
            <family val="2"/>
          </rPr>
          <t xml:space="preserve">TLS encryption in-transit. Performance is reduced with TLS and needs to be considered.
</t>
        </r>
      </text>
    </comment>
    <comment ref="B16" authorId="0" shapeId="0">
      <text>
        <r>
          <rPr>
            <sz val="9"/>
            <color indexed="81"/>
            <rFont val="Tahoma"/>
            <family val="2"/>
          </rPr>
          <t>Parameters for comparing the cost of MSK to the cost of running a similar cluster in EC2 including the total cost of ownership.</t>
        </r>
      </text>
    </comment>
    <comment ref="B19" authorId="0" shapeId="0">
      <text>
        <r>
          <rPr>
            <sz val="9"/>
            <color indexed="81"/>
            <rFont val="Tahoma"/>
            <family val="2"/>
          </rPr>
          <t>Select either 1 or 3 year reserved instance type pricing.  Select 0 if you don’t use reserved instances.</t>
        </r>
      </text>
    </comment>
    <comment ref="B21" authorId="0" shapeId="0">
      <text>
        <r>
          <rPr>
            <sz val="9"/>
            <color indexed="81"/>
            <rFont val="Tahoma"/>
            <family val="2"/>
          </rPr>
          <t>Advanced parameters can be edited if required.  If you are not familiar with the parameter you can leave the default setting.</t>
        </r>
      </text>
    </comment>
    <comment ref="B22" authorId="0" shapeId="0">
      <text>
        <r>
          <rPr>
            <sz val="9"/>
            <color indexed="81"/>
            <rFont val="Tahoma"/>
            <family val="2"/>
          </rPr>
          <t>Amazon MSK supports clusters that span 3 or 2 Availability Zones.  The default is 3.</t>
        </r>
      </text>
    </comment>
    <comment ref="B23" authorId="0" shapeId="0">
      <text>
        <r>
          <rPr>
            <sz val="9"/>
            <color indexed="81"/>
            <rFont val="Tahoma"/>
            <family val="2"/>
          </rPr>
          <t>Nearest replica fetching is available in Kafka verions &gt; 2.4.x.  Nearest Replica fetching reduces latency and cross AZ data transfer for consumers by allowing them to fetch data from partitions in their AZ.</t>
        </r>
      </text>
    </comment>
    <comment ref="B24" authorId="0" shapeId="0">
      <text>
        <r>
          <rPr>
            <sz val="9"/>
            <color indexed="81"/>
            <rFont val="Tahoma"/>
            <family val="2"/>
          </rPr>
          <t>How often is a consumer lagging behind or can also be used to represent the percentage of batch consumers that are reading from older data.</t>
        </r>
      </text>
    </comment>
    <comment ref="B25" authorId="0" shapeId="0">
      <text>
        <r>
          <rPr>
            <sz val="9"/>
            <color indexed="81"/>
            <rFont val="Tahoma"/>
            <family val="2"/>
          </rPr>
          <t>The number of brokers that can go offline without affecting the performance of the cluster.</t>
        </r>
      </text>
    </comment>
    <comment ref="B26" authorId="0" shapeId="0">
      <text>
        <r>
          <rPr>
            <sz val="9"/>
            <color indexed="81"/>
            <rFont val="Tahoma"/>
            <family val="2"/>
          </rPr>
          <t>Desired percent usage of the disk volumes in the cluster.  Having a buffer allows for abnormal events and also prevents failures due to full disks.  EBS IOPs is proportional to provisioned storage.</t>
        </r>
      </text>
    </comment>
    <comment ref="B27" authorId="0" shapeId="0">
      <text>
        <r>
          <rPr>
            <sz val="9"/>
            <color indexed="81"/>
            <rFont val="Tahoma"/>
            <family val="2"/>
          </rPr>
          <t>How many seconds minimum of cached ingest data should be available in RAM.</t>
        </r>
      </text>
    </comment>
  </commentList>
</comments>
</file>

<file path=xl/sharedStrings.xml><?xml version="1.0" encoding="utf-8"?>
<sst xmlns="http://schemas.openxmlformats.org/spreadsheetml/2006/main" count="186" uniqueCount="131">
  <si>
    <t>m5.xlarge</t>
  </si>
  <si>
    <t>EBS IO Mbps</t>
  </si>
  <si>
    <t>m5.2xlarge</t>
  </si>
  <si>
    <t>m5.4xlarge</t>
  </si>
  <si>
    <t>m5.12xlarge</t>
  </si>
  <si>
    <t>m5.24xlarge</t>
  </si>
  <si>
    <t>MB/sec</t>
  </si>
  <si>
    <t>m5.large</t>
  </si>
  <si>
    <t>Replication Factor</t>
  </si>
  <si>
    <t>Memory</t>
  </si>
  <si>
    <t>EBS</t>
  </si>
  <si>
    <t>Networking</t>
  </si>
  <si>
    <t>CPU</t>
  </si>
  <si>
    <t>Storage</t>
  </si>
  <si>
    <t>Price</t>
  </si>
  <si>
    <t>Monthly</t>
  </si>
  <si>
    <t>Broker</t>
  </si>
  <si>
    <t>Network R/W, MB/s</t>
  </si>
  <si>
    <t>Retention, Hrs</t>
  </si>
  <si>
    <t>Disk RW, MB/s</t>
  </si>
  <si>
    <t>Network Write, MB/s</t>
  </si>
  <si>
    <t>Network Read, MB/s</t>
  </si>
  <si>
    <t>EBS Storage</t>
  </si>
  <si>
    <t>EBS TP</t>
  </si>
  <si>
    <t>Network TP</t>
  </si>
  <si>
    <t>Hourly Cost</t>
  </si>
  <si>
    <t>Total</t>
  </si>
  <si>
    <t>Instance Type</t>
  </si>
  <si>
    <t>Provisioned Storage, TB</t>
  </si>
  <si>
    <t>Network Peak, MB/s</t>
  </si>
  <si>
    <t>Lagging Consumer Percentage</t>
  </si>
  <si>
    <t>EBS Disk Utilization</t>
  </si>
  <si>
    <t>Ram Data Cached Seconds</t>
  </si>
  <si>
    <t>Required Storage, TB</t>
  </si>
  <si>
    <t>DATA TRANSFER</t>
  </si>
  <si>
    <t>NETWORKING</t>
  </si>
  <si>
    <t>MEMORY</t>
  </si>
  <si>
    <t>Ingestion Rate, MB/s</t>
  </si>
  <si>
    <t>RAM, GB</t>
  </si>
  <si>
    <t>OUTPUTS</t>
  </si>
  <si>
    <t>CLUSTER DESIGN INPUT PARAMETERS</t>
  </si>
  <si>
    <t>Kafka</t>
  </si>
  <si>
    <t>Ingest MB/s</t>
  </si>
  <si>
    <t>EC2 PERFORMANCE AND COST</t>
  </si>
  <si>
    <t>Kafka Ingest</t>
  </si>
  <si>
    <t>*Cross AZ Costs</t>
  </si>
  <si>
    <t>ZK Cluster</t>
  </si>
  <si>
    <t>Nodes</t>
  </si>
  <si>
    <t>Instance</t>
  </si>
  <si>
    <t>EC2</t>
  </si>
  <si>
    <t>T3 Large</t>
  </si>
  <si>
    <t>Cross AZ Total, GB/hr</t>
  </si>
  <si>
    <t>Inter-Broker Replication, GB/hr</t>
  </si>
  <si>
    <t>Inter-Broker Replication, MB/s</t>
  </si>
  <si>
    <t>Cross AZ Consumer, MB/s</t>
  </si>
  <si>
    <t>Cross AZ Producer, MB/s</t>
  </si>
  <si>
    <t>Broker+Storage</t>
  </si>
  <si>
    <t>AZ Transfer</t>
  </si>
  <si>
    <t>Cross AZ Transfer</t>
  </si>
  <si>
    <t>Monthly Cost</t>
  </si>
  <si>
    <t>Replication</t>
  </si>
  <si>
    <t>Zookeeper</t>
  </si>
  <si>
    <t>Hourly</t>
  </si>
  <si>
    <t>$/GB</t>
  </si>
  <si>
    <t>+ Devs</t>
  </si>
  <si>
    <t>STORAGE LOAD</t>
  </si>
  <si>
    <t>Engineering Cost</t>
  </si>
  <si>
    <t>Number of Engineers</t>
  </si>
  <si>
    <t>Data Transfer*</t>
  </si>
  <si>
    <t>Engineers</t>
  </si>
  <si>
    <t>RAM</t>
  </si>
  <si>
    <t>EC2 Reserved Instances (Years) **</t>
  </si>
  <si>
    <t>Lagging Readers (MB/s)</t>
  </si>
  <si>
    <t>SUMMARY</t>
  </si>
  <si>
    <t>Cluster Size (Brokers)</t>
  </si>
  <si>
    <t>Amazon MSK</t>
  </si>
  <si>
    <t>-</t>
  </si>
  <si>
    <t>Self Managed EC2 with Engineers</t>
  </si>
  <si>
    <t>Selected Cluster Instance Type</t>
  </si>
  <si>
    <t>% Difference to MSK</t>
  </si>
  <si>
    <t>Cluster</t>
  </si>
  <si>
    <t>EC2 Comparison Inputs</t>
  </si>
  <si>
    <t>Total Data Out, MB/s</t>
  </si>
  <si>
    <t>Advanced parameters</t>
  </si>
  <si>
    <t>EC2 SELF MANAGED KAFKA COSTS</t>
  </si>
  <si>
    <t>MSK CLUSTER SIZING AND COSTS</t>
  </si>
  <si>
    <t>us-east-1 pricing</t>
  </si>
  <si>
    <t>`</t>
  </si>
  <si>
    <t>BLANK</t>
  </si>
  <si>
    <t>Encryption in-transit</t>
  </si>
  <si>
    <t>Broker Safety Factor</t>
  </si>
  <si>
    <t>INTRODUCTION</t>
  </si>
  <si>
    <t>Drop down selection.  Select instance based on the # of brokers column in MSK CLUSTER SIZING AND COSTS table</t>
  </si>
  <si>
    <t>Gbps</t>
  </si>
  <si>
    <t>Network MB/s</t>
  </si>
  <si>
    <t>REQUIRED BROKERS - BOTTLENECK ANALYSIS</t>
  </si>
  <si>
    <t>Input Cells</t>
  </si>
  <si>
    <t>Recommended # of Brokers</t>
  </si>
  <si>
    <t>This spreadsheet provides an estimate for sizing a Kafka cluster and the associated costs of Amazon MSK versus a similar self-managed EC2 Kafka cluster.  For more information about the input parameters, refer to the comments by hovering your mouse over the parameter description.  Estimates provided by this sheet are conservative and provide a starting point for a new cluster.  Cluster performance, size, and costs are dependent on use case and should be verified with actual testing.</t>
  </si>
  <si>
    <t>We recommend referencing the MSK default limits and requesting a limit increase if needed.</t>
  </si>
  <si>
    <t>EBS IOPs</t>
  </si>
  <si>
    <t>Required Total IOPs (256KB block)</t>
  </si>
  <si>
    <t>t3.small</t>
  </si>
  <si>
    <t>Nearest Replica Fetching (Kafka 2.4.x)</t>
  </si>
  <si>
    <t>Number of AZs (3 Recommended)</t>
  </si>
  <si>
    <t xml:space="preserve">Self Managed EC2 </t>
  </si>
  <si>
    <t>m5.8xlarge</t>
  </si>
  <si>
    <t>m5.16xlarge</t>
  </si>
  <si>
    <t>EC2 prices ($/hr)</t>
  </si>
  <si>
    <t>On Demand</t>
  </si>
  <si>
    <t>RI 1yr</t>
  </si>
  <si>
    <t>RI 3yr</t>
  </si>
  <si>
    <t>MSK</t>
  </si>
  <si>
    <t>$/GB-Month</t>
  </si>
  <si>
    <t>https://docs.aws.amazon.com/AWSEC2/latest/UserGuide/ebs-optimized.html</t>
  </si>
  <si>
    <t>Networking Gbps</t>
  </si>
  <si>
    <t>https://docs.aws.amazon.com/AWSEC2/latest/UserGuide/general-purpose-instances.html</t>
  </si>
  <si>
    <t>Supported Instance Types &gt; EBS optimized by default</t>
  </si>
  <si>
    <t>Metric Name</t>
  </si>
  <si>
    <t>Metric Source</t>
  </si>
  <si>
    <t>Location</t>
  </si>
  <si>
    <t>Network Performance</t>
  </si>
  <si>
    <r>
      <rPr>
        <b/>
        <sz val="9"/>
        <color theme="1"/>
        <rFont val="Calibri"/>
        <family val="2"/>
        <scheme val="minor"/>
      </rPr>
      <t>Note:</t>
    </r>
    <r>
      <rPr>
        <sz val="9"/>
        <color theme="1"/>
        <rFont val="Calibri"/>
        <family val="2"/>
        <scheme val="minor"/>
      </rPr>
      <t xml:space="preserve"> Hover over the input (red triangle) to get a description of the field.</t>
    </r>
  </si>
  <si>
    <t>Message size, bytes</t>
  </si>
  <si>
    <t>Messages/sec</t>
  </si>
  <si>
    <t>Calculated Ingestion Throughput MB/s</t>
  </si>
  <si>
    <t>Messages/day, in millions</t>
  </si>
  <si>
    <t>Messages/hr, in millions</t>
  </si>
  <si>
    <t>Use this sheet to calculate throughput based on message size and messages/sec/hr/or day.  Depending on the data you have from the customer you can use any of the time frames.</t>
  </si>
  <si>
    <t>Calculate Ingestion Rate (Optional)</t>
  </si>
  <si>
    <t>Provisioned Storage per Broker (GB)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</si>
</sst>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5" formatCode="&quot;$&quot;#,##0_);\(&quot;$&quot;#,##0\)"/>
    <numFmt numFmtId="7" formatCode="&quot;$&quot;#,##0.00_);\(&quot;$&quot;#,##0.00\)"/>
    <numFmt numFmtId="8" formatCode="&quot;$&quot;#,##0.00_);[Red]\(&quot;$&quot;#,##0.00\)"/>
    <numFmt numFmtId="44" formatCode="_(&quot;$&quot;* #,##0.00_);_(&quot;$&quot;* \(#,##0.00\);_(&quot;$&quot;* &quot;-&quot;??_);_(@_)"/>
    <numFmt numFmtId="43" formatCode="_(* #,##0.00_);_(* \(#,##0.00\);_(* &quot;-&quot;??_);_(@_)"/>
    <numFmt numFmtId="164" formatCode="0.0"/>
    <numFmt numFmtId="165" formatCode="_(* #,##0.0_);_(* \(#,##0.0\);_(* &quot;-&quot;??_);_(@_)"/>
    <numFmt numFmtId="166" formatCode="&quot;$&quot;#,##0.000_);\(&quot;$&quot;#,##0.000\)"/>
    <numFmt numFmtId="167" formatCode="&quot;$&quot;#,##0.00"/>
    <numFmt numFmtId="168" formatCode="0.000"/>
    <numFmt numFmtId="169" formatCode="&quot;$&quot;#,##0"/>
    <numFmt numFmtId="170" formatCode="&quot;$&quot;#,##0.000"/>
    <numFmt numFmtId="171" formatCode="_(* #,##0_);_(* \(#,##0\);_(* &quot;-&quot;??_);_(@_)"/>
    <numFmt numFmtId="172" formatCode="&quot;$&quot;#,##0.000_);[Red]\(&quot;$&quot;#,##0.000\)"/>
    <numFmt numFmtId="173" formatCode="_(* #,##0.000_);_(* \(#,##0.000\);_(* &quot;-&quot;??_);_(@_)"/>
  </numFmts>
  <fonts count="18" x14ac:knownFonts="1">
    <font>
      <sz val="11"/>
      <color theme="1"/>
      <name val="Calibri"/>
      <family val="2"/>
      <scheme val="minor"/>
    </font>
    <font>
      <b/>
      <sz val="11"/>
      <color theme="1"/>
      <name val="Calibri"/>
      <family val="2"/>
      <scheme val="minor"/>
    </font>
    <font>
      <sz val="9"/>
      <color indexed="81"/>
      <name val="Tahoma"/>
      <family val="2"/>
    </font>
    <font>
      <sz val="11"/>
      <color theme="1"/>
      <name val="Calibri"/>
      <family val="2"/>
      <scheme val="minor"/>
    </font>
    <font>
      <sz val="11"/>
      <color rgb="FF3F3F76"/>
      <name val="Calibri"/>
      <family val="2"/>
      <scheme val="minor"/>
    </font>
    <font>
      <b/>
      <sz val="11"/>
      <color rgb="FF3F3F3F"/>
      <name val="Calibri"/>
      <family val="2"/>
      <scheme val="minor"/>
    </font>
    <font>
      <sz val="11"/>
      <name val="Calibri"/>
      <family val="2"/>
      <scheme val="minor"/>
    </font>
    <font>
      <sz val="9"/>
      <color theme="1"/>
      <name val="Calibri"/>
      <family val="2"/>
      <scheme val="minor"/>
    </font>
    <font>
      <sz val="9"/>
      <name val="Calibri"/>
      <family val="2"/>
      <scheme val="minor"/>
    </font>
    <font>
      <b/>
      <sz val="9"/>
      <color theme="1"/>
      <name val="Calibri"/>
      <family val="2"/>
      <scheme val="minor"/>
    </font>
    <font>
      <b/>
      <sz val="9"/>
      <color rgb="FF3F3F76"/>
      <name val="Calibri"/>
      <family val="2"/>
      <scheme val="minor"/>
    </font>
    <font>
      <b/>
      <sz val="9"/>
      <color indexed="81"/>
      <name val="Tahoma"/>
      <family val="2"/>
    </font>
    <font>
      <b/>
      <sz val="11"/>
      <name val="Calibri"/>
      <family val="2"/>
      <scheme val="minor"/>
    </font>
    <font>
      <sz val="11"/>
      <color rgb="FF000000"/>
      <name val="Calibri"/>
      <family val="2"/>
    </font>
    <font>
      <b/>
      <sz val="11"/>
      <color rgb="FF000000"/>
      <name val="Calibri"/>
      <family val="2"/>
    </font>
    <font>
      <sz val="10"/>
      <color theme="1"/>
      <name val="Times New Roman"/>
      <family val="1"/>
    </font>
    <font>
      <sz val="11"/>
      <name val="Calibri"/>
      <family val="2"/>
    </font>
    <font>
      <u/>
      <sz val="11"/>
      <color theme="10"/>
      <name val="Calibri"/>
      <family val="2"/>
      <scheme val="minor"/>
    </font>
  </fonts>
  <fills count="8">
    <fill>
      <patternFill patternType="none"/>
    </fill>
    <fill>
      <patternFill patternType="gray125"/>
    </fill>
    <fill>
      <patternFill patternType="solid">
        <fgColor rgb="FFFFCC99"/>
      </patternFill>
    </fill>
    <fill>
      <patternFill patternType="solid">
        <fgColor rgb="FFF2F2F2"/>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bgColor indexed="64"/>
      </patternFill>
    </fill>
  </fills>
  <borders count="17">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7">
    <xf numFmtId="0" fontId="0" fillId="0" borderId="0"/>
    <xf numFmtId="43" fontId="3" fillId="0" borderId="0" applyFont="0" applyFill="0" applyBorder="0" applyAlignment="0" applyProtection="0"/>
    <xf numFmtId="44" fontId="3" fillId="0" borderId="0" applyFont="0" applyFill="0" applyBorder="0" applyAlignment="0" applyProtection="0"/>
    <xf numFmtId="0" fontId="4" fillId="2" borderId="1" applyNumberFormat="0" applyAlignment="0" applyProtection="0"/>
    <xf numFmtId="9" fontId="3" fillId="0" borderId="0" applyFont="0" applyFill="0" applyBorder="0" applyAlignment="0" applyProtection="0"/>
    <xf numFmtId="0" fontId="5" fillId="3" borderId="2" applyNumberFormat="0" applyAlignment="0" applyProtection="0"/>
    <xf numFmtId="0" fontId="17" fillId="0" borderId="0" applyNumberFormat="0" applyFill="0" applyBorder="0" applyAlignment="0" applyProtection="0"/>
  </cellStyleXfs>
  <cellXfs count="216">
    <xf numFmtId="0" fontId="0" fillId="0" borderId="0" xfId="0"/>
    <xf numFmtId="0" fontId="1" fillId="0" borderId="0" xfId="0" applyFont="1"/>
    <xf numFmtId="1" fontId="0" fillId="0" borderId="0" xfId="0" applyNumberFormat="1"/>
    <xf numFmtId="164" fontId="0" fillId="0" borderId="0" xfId="0" applyNumberFormat="1"/>
    <xf numFmtId="44" fontId="0" fillId="0" borderId="0" xfId="2" applyFont="1"/>
    <xf numFmtId="165" fontId="5" fillId="3" borderId="2" xfId="1" applyNumberFormat="1" applyFont="1" applyFill="1" applyBorder="1"/>
    <xf numFmtId="0" fontId="0" fillId="0" borderId="0" xfId="0" applyAlignment="1">
      <alignment horizontal="left" indent="1"/>
    </xf>
    <xf numFmtId="0" fontId="1" fillId="0" borderId="0" xfId="0" applyFont="1" applyAlignment="1">
      <alignment horizontal="left"/>
    </xf>
    <xf numFmtId="0" fontId="0" fillId="0" borderId="0" xfId="0" applyAlignment="1">
      <alignment horizontal="left"/>
    </xf>
    <xf numFmtId="0" fontId="1" fillId="0" borderId="0" xfId="0" applyFont="1" applyFill="1" applyBorder="1" applyAlignment="1">
      <alignment horizontal="left"/>
    </xf>
    <xf numFmtId="0" fontId="0" fillId="0" borderId="0" xfId="0" applyFont="1" applyAlignment="1">
      <alignment horizontal="left" indent="1"/>
    </xf>
    <xf numFmtId="0" fontId="0" fillId="0" borderId="3" xfId="0" applyBorder="1"/>
    <xf numFmtId="0" fontId="1" fillId="0" borderId="3" xfId="0" applyFont="1" applyBorder="1"/>
    <xf numFmtId="0" fontId="0" fillId="0" borderId="0" xfId="0" applyBorder="1"/>
    <xf numFmtId="44" fontId="0" fillId="0" borderId="0" xfId="2" applyFont="1" applyBorder="1"/>
    <xf numFmtId="0" fontId="0" fillId="0" borderId="0" xfId="0" applyBorder="1" applyAlignment="1">
      <alignment horizontal="center"/>
    </xf>
    <xf numFmtId="1" fontId="0" fillId="0" borderId="0" xfId="0" applyNumberFormat="1" applyBorder="1" applyAlignment="1">
      <alignment horizontal="center"/>
    </xf>
    <xf numFmtId="0" fontId="0" fillId="0" borderId="0" xfId="0" applyFont="1" applyFill="1" applyBorder="1" applyAlignment="1">
      <alignment horizontal="center"/>
    </xf>
    <xf numFmtId="44" fontId="0" fillId="0" borderId="0" xfId="2" applyFont="1" applyBorder="1" applyAlignment="1">
      <alignment horizontal="center"/>
    </xf>
    <xf numFmtId="7" fontId="0" fillId="0" borderId="0" xfId="2" applyNumberFormat="1" applyFont="1" applyBorder="1" applyAlignment="1">
      <alignment horizontal="center"/>
    </xf>
    <xf numFmtId="0" fontId="0" fillId="0" borderId="0" xfId="0" applyBorder="1" applyAlignment="1">
      <alignment horizontal="left" indent="1"/>
    </xf>
    <xf numFmtId="0" fontId="0" fillId="0" borderId="11" xfId="0" applyFill="1" applyBorder="1" applyAlignment="1">
      <alignment horizontal="center"/>
    </xf>
    <xf numFmtId="0" fontId="0" fillId="0" borderId="7" xfId="0" applyFill="1" applyBorder="1" applyAlignment="1">
      <alignment horizontal="center"/>
    </xf>
    <xf numFmtId="0" fontId="0" fillId="0" borderId="0" xfId="0" applyFill="1" applyBorder="1" applyAlignment="1">
      <alignment horizontal="center"/>
    </xf>
    <xf numFmtId="7" fontId="0" fillId="0" borderId="7" xfId="0" applyNumberFormat="1" applyFill="1" applyBorder="1" applyAlignment="1">
      <alignment horizontal="center"/>
    </xf>
    <xf numFmtId="7" fontId="0" fillId="0" borderId="0" xfId="0" applyNumberFormat="1" applyFill="1" applyBorder="1" applyAlignment="1">
      <alignment horizontal="center"/>
    </xf>
    <xf numFmtId="43" fontId="0" fillId="0" borderId="0" xfId="0" applyNumberFormat="1"/>
    <xf numFmtId="7" fontId="0" fillId="0" borderId="0" xfId="0" applyNumberFormat="1"/>
    <xf numFmtId="5" fontId="0" fillId="0" borderId="0" xfId="0" applyNumberFormat="1" applyAlignment="1">
      <alignment horizontal="center"/>
    </xf>
    <xf numFmtId="166" fontId="0" fillId="0" borderId="0" xfId="0" applyNumberFormat="1" applyFill="1" applyBorder="1" applyAlignment="1">
      <alignment horizontal="center"/>
    </xf>
    <xf numFmtId="5" fontId="0" fillId="0" borderId="0" xfId="0" applyNumberFormat="1" applyFill="1" applyBorder="1" applyAlignment="1">
      <alignment horizontal="center"/>
    </xf>
    <xf numFmtId="0" fontId="1" fillId="0" borderId="0" xfId="0" applyFont="1" applyBorder="1" applyAlignment="1">
      <alignment horizontal="left"/>
    </xf>
    <xf numFmtId="7" fontId="0" fillId="0" borderId="3" xfId="0" applyNumberFormat="1" applyFill="1" applyBorder="1" applyAlignment="1">
      <alignment horizontal="center"/>
    </xf>
    <xf numFmtId="5" fontId="0" fillId="0" borderId="7" xfId="0" applyNumberFormat="1" applyFill="1" applyBorder="1" applyAlignment="1">
      <alignment horizontal="center"/>
    </xf>
    <xf numFmtId="7" fontId="6" fillId="0" borderId="0" xfId="0" applyNumberFormat="1" applyFont="1" applyFill="1" applyBorder="1" applyAlignment="1">
      <alignment horizontal="center"/>
    </xf>
    <xf numFmtId="7" fontId="6" fillId="0" borderId="3" xfId="0" applyNumberFormat="1" applyFont="1" applyFill="1" applyBorder="1" applyAlignment="1">
      <alignment horizontal="center"/>
    </xf>
    <xf numFmtId="166" fontId="0" fillId="0" borderId="0" xfId="0" applyNumberFormat="1"/>
    <xf numFmtId="44" fontId="0" fillId="0" borderId="0" xfId="2" applyNumberFormat="1" applyFont="1"/>
    <xf numFmtId="1" fontId="0" fillId="0" borderId="0" xfId="0" applyNumberFormat="1" applyAlignment="1">
      <alignment horizontal="center"/>
    </xf>
    <xf numFmtId="1" fontId="0" fillId="0" borderId="0" xfId="2" applyNumberFormat="1" applyFont="1" applyAlignment="1">
      <alignment horizontal="center"/>
    </xf>
    <xf numFmtId="5" fontId="0" fillId="0" borderId="3" xfId="0" applyNumberFormat="1" applyFill="1" applyBorder="1" applyAlignment="1">
      <alignment horizontal="center"/>
    </xf>
    <xf numFmtId="167" fontId="0" fillId="0" borderId="0" xfId="0" applyNumberFormat="1" applyFill="1" applyBorder="1" applyAlignment="1">
      <alignment horizontal="center"/>
    </xf>
    <xf numFmtId="167" fontId="0" fillId="0" borderId="0" xfId="0" applyNumberFormat="1" applyBorder="1" applyAlignment="1">
      <alignment horizontal="center"/>
    </xf>
    <xf numFmtId="0" fontId="0" fillId="0" borderId="8" xfId="0" applyFill="1" applyBorder="1" applyAlignment="1">
      <alignment horizontal="center"/>
    </xf>
    <xf numFmtId="0" fontId="0" fillId="0" borderId="10" xfId="0" applyFill="1" applyBorder="1" applyAlignment="1">
      <alignment horizontal="center"/>
    </xf>
    <xf numFmtId="44" fontId="8" fillId="0" borderId="0" xfId="2" applyFont="1" applyBorder="1"/>
    <xf numFmtId="0" fontId="9" fillId="0" borderId="0" xfId="0" applyFont="1" applyFill="1" applyBorder="1"/>
    <xf numFmtId="0" fontId="0" fillId="0" borderId="9" xfId="0" applyFill="1" applyBorder="1" applyAlignment="1">
      <alignment horizontal="center"/>
    </xf>
    <xf numFmtId="0" fontId="0" fillId="0" borderId="3" xfId="0" applyFill="1" applyBorder="1" applyAlignment="1">
      <alignment horizontal="center"/>
    </xf>
    <xf numFmtId="0" fontId="1" fillId="0" borderId="0" xfId="0" applyFont="1" applyAlignment="1"/>
    <xf numFmtId="0" fontId="0" fillId="0" borderId="15" xfId="0" applyBorder="1" applyAlignment="1">
      <alignment horizontal="center"/>
    </xf>
    <xf numFmtId="0" fontId="1" fillId="0" borderId="3" xfId="0" applyFont="1" applyBorder="1" applyAlignment="1"/>
    <xf numFmtId="0" fontId="1" fillId="0" borderId="14"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xf numFmtId="0" fontId="0" fillId="0" borderId="14" xfId="0" applyBorder="1" applyAlignment="1">
      <alignment horizontal="center"/>
    </xf>
    <xf numFmtId="167" fontId="0" fillId="0" borderId="15" xfId="0" applyNumberFormat="1" applyBorder="1" applyAlignment="1">
      <alignment horizontal="center"/>
    </xf>
    <xf numFmtId="167" fontId="0" fillId="0" borderId="15" xfId="2" applyNumberFormat="1" applyFont="1" applyBorder="1" applyAlignment="1">
      <alignment horizontal="center"/>
    </xf>
    <xf numFmtId="167" fontId="0" fillId="0" borderId="16" xfId="0" applyNumberFormat="1" applyBorder="1" applyAlignment="1">
      <alignment horizontal="center"/>
    </xf>
    <xf numFmtId="0" fontId="0" fillId="0" borderId="4" xfId="0" applyBorder="1"/>
    <xf numFmtId="0" fontId="1" fillId="0" borderId="4" xfId="0" applyFont="1" applyBorder="1" applyAlignment="1">
      <alignment horizontal="left"/>
    </xf>
    <xf numFmtId="0" fontId="1" fillId="0" borderId="4" xfId="0" applyFont="1" applyBorder="1"/>
    <xf numFmtId="0" fontId="0" fillId="0" borderId="0" xfId="0" applyFont="1" applyFill="1" applyBorder="1" applyAlignment="1">
      <alignment horizontal="left" indent="1"/>
    </xf>
    <xf numFmtId="169" fontId="0" fillId="0" borderId="0" xfId="2" applyNumberFormat="1" applyFont="1" applyAlignment="1">
      <alignment horizontal="center"/>
    </xf>
    <xf numFmtId="170" fontId="0" fillId="0" borderId="0" xfId="2" applyNumberFormat="1" applyFont="1" applyAlignment="1">
      <alignment horizontal="center"/>
    </xf>
    <xf numFmtId="0" fontId="5" fillId="3" borderId="2" xfId="5" applyAlignment="1">
      <alignment horizontal="center"/>
    </xf>
    <xf numFmtId="9" fontId="0" fillId="0" borderId="0" xfId="4" applyFont="1" applyFill="1" applyBorder="1" applyAlignment="1">
      <alignment horizontal="center"/>
    </xf>
    <xf numFmtId="169" fontId="0" fillId="0" borderId="0" xfId="0" applyNumberFormat="1" applyBorder="1" applyAlignment="1">
      <alignment horizontal="center"/>
    </xf>
    <xf numFmtId="168" fontId="0" fillId="0" borderId="0" xfId="0" applyNumberFormat="1" applyBorder="1" applyAlignment="1">
      <alignment horizontal="center"/>
    </xf>
    <xf numFmtId="0" fontId="0" fillId="0" borderId="3" xfId="0" applyFont="1" applyBorder="1" applyAlignment="1">
      <alignment horizontal="left" indent="1"/>
    </xf>
    <xf numFmtId="169" fontId="0" fillId="0" borderId="3" xfId="2" applyNumberFormat="1" applyFont="1" applyBorder="1" applyAlignment="1">
      <alignment horizontal="center"/>
    </xf>
    <xf numFmtId="170" fontId="0" fillId="0" borderId="3" xfId="2" applyNumberFormat="1" applyFont="1" applyBorder="1" applyAlignment="1">
      <alignment horizontal="center"/>
    </xf>
    <xf numFmtId="9" fontId="0" fillId="0" borderId="3" xfId="4" applyFont="1" applyFill="1" applyBorder="1" applyAlignment="1">
      <alignment horizontal="center"/>
    </xf>
    <xf numFmtId="169" fontId="0" fillId="0" borderId="0" xfId="2" applyNumberFormat="1" applyFont="1" applyBorder="1" applyAlignment="1">
      <alignment horizontal="center"/>
    </xf>
    <xf numFmtId="170" fontId="0" fillId="0" borderId="0" xfId="2" applyNumberFormat="1" applyFont="1" applyBorder="1" applyAlignment="1">
      <alignment horizontal="center"/>
    </xf>
    <xf numFmtId="0" fontId="7" fillId="0" borderId="0" xfId="0" applyFont="1" applyAlignment="1">
      <alignment horizontal="left" indent="1"/>
    </xf>
    <xf numFmtId="0" fontId="0" fillId="4" borderId="3" xfId="0" applyFill="1" applyBorder="1"/>
    <xf numFmtId="0" fontId="1" fillId="4" borderId="3" xfId="0" applyFont="1" applyFill="1" applyBorder="1" applyAlignment="1">
      <alignment horizontal="left"/>
    </xf>
    <xf numFmtId="0" fontId="0" fillId="4" borderId="3" xfId="0" applyFill="1" applyBorder="1" applyAlignment="1">
      <alignment horizontal="center"/>
    </xf>
    <xf numFmtId="0" fontId="7" fillId="0" borderId="0" xfId="0" applyFont="1" applyFill="1" applyBorder="1" applyAlignment="1">
      <alignment horizontal="left"/>
    </xf>
    <xf numFmtId="0" fontId="7" fillId="0" borderId="0" xfId="0" applyFont="1" applyAlignment="1">
      <alignment horizontal="left"/>
    </xf>
    <xf numFmtId="0" fontId="10" fillId="2" borderId="1" xfId="3" applyFont="1" applyBorder="1" applyAlignment="1">
      <alignment horizontal="center" vertical="center"/>
    </xf>
    <xf numFmtId="167" fontId="0" fillId="0" borderId="0" xfId="0" applyNumberFormat="1"/>
    <xf numFmtId="0" fontId="1" fillId="0" borderId="0" xfId="0" applyFont="1" applyAlignment="1">
      <alignment horizontal="center"/>
    </xf>
    <xf numFmtId="0" fontId="0" fillId="0" borderId="0" xfId="0" applyAlignment="1">
      <alignment horizontal="left" vertical="top" wrapText="1"/>
    </xf>
    <xf numFmtId="0" fontId="7" fillId="0" borderId="0" xfId="0" applyFont="1" applyAlignment="1">
      <alignment vertical="top" wrapText="1"/>
    </xf>
    <xf numFmtId="164" fontId="4" fillId="2" borderId="1" xfId="3" applyNumberFormat="1" applyAlignment="1" applyProtection="1">
      <alignment horizontal="center"/>
      <protection locked="0"/>
    </xf>
    <xf numFmtId="0" fontId="4" fillId="2" borderId="1" xfId="3" applyAlignment="1" applyProtection="1">
      <alignment horizontal="center"/>
      <protection locked="0"/>
    </xf>
    <xf numFmtId="9" fontId="4" fillId="2" borderId="1" xfId="3" applyNumberFormat="1" applyAlignment="1" applyProtection="1">
      <alignment horizontal="center"/>
      <protection locked="0"/>
    </xf>
    <xf numFmtId="169" fontId="4" fillId="2" borderId="1" xfId="3" applyNumberFormat="1" applyAlignment="1" applyProtection="1">
      <alignment horizontal="center"/>
      <protection locked="0"/>
    </xf>
    <xf numFmtId="0" fontId="1" fillId="0" borderId="8" xfId="0" applyFont="1" applyFill="1" applyBorder="1" applyAlignment="1">
      <alignment horizontal="center"/>
    </xf>
    <xf numFmtId="0" fontId="1" fillId="0" borderId="10" xfId="0" applyFont="1" applyFill="1" applyBorder="1" applyAlignment="1">
      <alignment horizontal="center"/>
    </xf>
    <xf numFmtId="171" fontId="5" fillId="3" borderId="2" xfId="1" applyNumberFormat="1" applyFont="1" applyFill="1" applyBorder="1"/>
    <xf numFmtId="0" fontId="0" fillId="0" borderId="0" xfId="0" applyFill="1" applyBorder="1" applyAlignment="1">
      <alignment horizontal="left" indent="1"/>
    </xf>
    <xf numFmtId="0" fontId="0" fillId="0" borderId="5" xfId="0" applyFill="1" applyBorder="1" applyAlignment="1">
      <alignment horizontal="center"/>
    </xf>
    <xf numFmtId="0" fontId="0" fillId="0" borderId="4" xfId="0" applyFill="1" applyBorder="1" applyAlignment="1">
      <alignment horizontal="center"/>
    </xf>
    <xf numFmtId="165" fontId="0" fillId="0" borderId="0" xfId="0" applyNumberFormat="1"/>
    <xf numFmtId="171" fontId="0" fillId="0" borderId="0" xfId="0" applyNumberFormat="1"/>
    <xf numFmtId="1" fontId="7" fillId="0" borderId="4" xfId="0" applyNumberFormat="1" applyFont="1" applyBorder="1" applyAlignment="1">
      <alignment horizontal="center"/>
    </xf>
    <xf numFmtId="0" fontId="1" fillId="0" borderId="13" xfId="0" applyFont="1" applyFill="1" applyBorder="1" applyAlignment="1">
      <alignment horizontal="center"/>
    </xf>
    <xf numFmtId="5" fontId="1" fillId="0" borderId="8" xfId="0" applyNumberFormat="1" applyFont="1" applyFill="1" applyBorder="1" applyAlignment="1">
      <alignment horizontal="center"/>
    </xf>
    <xf numFmtId="5" fontId="1" fillId="0" borderId="10" xfId="0" applyNumberFormat="1" applyFont="1" applyFill="1" applyBorder="1" applyAlignment="1">
      <alignment horizontal="center"/>
    </xf>
    <xf numFmtId="166" fontId="0" fillId="0" borderId="11" xfId="0" applyNumberFormat="1" applyFont="1" applyFill="1" applyBorder="1" applyAlignment="1">
      <alignment horizontal="center"/>
    </xf>
    <xf numFmtId="166" fontId="0" fillId="0" borderId="12" xfId="0" applyNumberFormat="1" applyFont="1" applyFill="1" applyBorder="1" applyAlignment="1">
      <alignment horizontal="center"/>
    </xf>
    <xf numFmtId="0" fontId="0" fillId="6" borderId="0" xfId="0" applyFill="1" applyBorder="1"/>
    <xf numFmtId="0" fontId="1" fillId="6" borderId="0" xfId="0" applyFont="1" applyFill="1" applyBorder="1" applyAlignment="1">
      <alignment horizontal="left"/>
    </xf>
    <xf numFmtId="0" fontId="0" fillId="6" borderId="0" xfId="0" applyFill="1"/>
    <xf numFmtId="0" fontId="0" fillId="7" borderId="13" xfId="0" applyFont="1" applyFill="1" applyBorder="1" applyAlignment="1">
      <alignment horizontal="center"/>
    </xf>
    <xf numFmtId="0" fontId="0" fillId="7" borderId="9" xfId="0" applyFont="1" applyFill="1" applyBorder="1" applyAlignment="1">
      <alignment horizontal="center"/>
    </xf>
    <xf numFmtId="0" fontId="0" fillId="7" borderId="3" xfId="0" applyFont="1" applyFill="1" applyBorder="1" applyAlignment="1">
      <alignment horizontal="center"/>
    </xf>
    <xf numFmtId="0" fontId="6" fillId="7" borderId="3" xfId="0" applyFont="1" applyFill="1" applyBorder="1" applyAlignment="1">
      <alignment horizontal="center"/>
    </xf>
    <xf numFmtId="0" fontId="0" fillId="7" borderId="10" xfId="0" applyFont="1" applyFill="1" applyBorder="1" applyAlignment="1">
      <alignment horizontal="center"/>
    </xf>
    <xf numFmtId="0" fontId="1" fillId="7" borderId="10" xfId="0" applyFont="1" applyFill="1" applyBorder="1" applyAlignment="1">
      <alignment horizontal="center"/>
    </xf>
    <xf numFmtId="0" fontId="0" fillId="7" borderId="12" xfId="0" applyFont="1" applyFill="1" applyBorder="1" applyAlignment="1">
      <alignment horizontal="center"/>
    </xf>
    <xf numFmtId="0" fontId="0" fillId="7" borderId="7" xfId="0" applyFill="1" applyBorder="1" applyAlignment="1">
      <alignment horizontal="center"/>
    </xf>
    <xf numFmtId="0" fontId="0" fillId="7" borderId="0" xfId="0" applyFill="1" applyBorder="1" applyAlignment="1">
      <alignment horizontal="center"/>
    </xf>
    <xf numFmtId="0" fontId="0" fillId="7" borderId="0" xfId="0" applyFont="1" applyFill="1" applyBorder="1" applyAlignment="1">
      <alignment horizontal="center"/>
    </xf>
    <xf numFmtId="0" fontId="0" fillId="7" borderId="8" xfId="0" applyFont="1" applyFill="1" applyBorder="1" applyAlignment="1">
      <alignment horizontal="center"/>
    </xf>
    <xf numFmtId="0" fontId="0" fillId="7" borderId="10" xfId="0" quotePrefix="1" applyFont="1" applyFill="1" applyBorder="1" applyAlignment="1">
      <alignment horizontal="center"/>
    </xf>
    <xf numFmtId="0" fontId="0" fillId="7" borderId="13" xfId="0" applyFill="1" applyBorder="1" applyAlignment="1">
      <alignment horizontal="center"/>
    </xf>
    <xf numFmtId="0" fontId="12" fillId="7" borderId="15" xfId="0" applyFont="1" applyFill="1" applyBorder="1" applyAlignment="1">
      <alignment horizontal="left" indent="1"/>
    </xf>
    <xf numFmtId="0" fontId="12" fillId="7" borderId="15" xfId="0" applyFont="1" applyFill="1" applyBorder="1" applyAlignment="1">
      <alignment horizontal="center"/>
    </xf>
    <xf numFmtId="44" fontId="8" fillId="0" borderId="0" xfId="2" applyFont="1" applyFill="1" applyBorder="1"/>
    <xf numFmtId="0" fontId="15" fillId="0" borderId="0" xfId="0" applyFont="1" applyFill="1" applyBorder="1"/>
    <xf numFmtId="0" fontId="13" fillId="0" borderId="0" xfId="0" applyFont="1" applyFill="1" applyBorder="1" applyAlignment="1">
      <alignment horizontal="center" vertical="center"/>
    </xf>
    <xf numFmtId="0" fontId="13" fillId="0" borderId="3" xfId="0" applyFont="1" applyFill="1" applyBorder="1" applyAlignment="1">
      <alignment horizontal="center" vertical="center"/>
    </xf>
    <xf numFmtId="3" fontId="13" fillId="0" borderId="8" xfId="0" applyNumberFormat="1" applyFont="1" applyFill="1" applyBorder="1" applyAlignment="1">
      <alignment horizontal="center" vertical="center"/>
    </xf>
    <xf numFmtId="3" fontId="13" fillId="0" borderId="10" xfId="0" applyNumberFormat="1" applyFont="1" applyFill="1" applyBorder="1" applyAlignment="1">
      <alignment horizontal="center" vertical="center"/>
    </xf>
    <xf numFmtId="0" fontId="13" fillId="0" borderId="11" xfId="0" applyFont="1" applyFill="1" applyBorder="1" applyAlignment="1">
      <alignment horizontal="center" vertical="center"/>
    </xf>
    <xf numFmtId="0" fontId="13" fillId="0" borderId="12" xfId="0" applyFont="1" applyFill="1" applyBorder="1" applyAlignment="1">
      <alignment horizontal="center" vertical="center"/>
    </xf>
    <xf numFmtId="0" fontId="13" fillId="0" borderId="13" xfId="0" applyFont="1" applyFill="1" applyBorder="1" applyAlignment="1">
      <alignment horizontal="center" vertical="center"/>
    </xf>
    <xf numFmtId="0" fontId="14" fillId="0" borderId="4" xfId="0" applyFont="1" applyFill="1" applyBorder="1" applyAlignment="1">
      <alignment horizontal="center" vertical="center"/>
    </xf>
    <xf numFmtId="0" fontId="14" fillId="0" borderId="13" xfId="0" applyFont="1" applyFill="1" applyBorder="1" applyAlignment="1">
      <alignment horizontal="center" vertical="center"/>
    </xf>
    <xf numFmtId="0" fontId="13" fillId="0" borderId="9" xfId="0" applyFont="1" applyFill="1" applyBorder="1" applyAlignment="1">
      <alignment horizontal="center" vertical="center"/>
    </xf>
    <xf numFmtId="0" fontId="13" fillId="0" borderId="10" xfId="0" applyFont="1" applyFill="1" applyBorder="1" applyAlignment="1">
      <alignment horizontal="center" vertical="center"/>
    </xf>
    <xf numFmtId="3" fontId="13" fillId="0" borderId="7" xfId="0" applyNumberFormat="1" applyFont="1" applyFill="1" applyBorder="1" applyAlignment="1">
      <alignment horizontal="center" vertical="center"/>
    </xf>
    <xf numFmtId="1" fontId="13" fillId="0" borderId="8" xfId="0" applyNumberFormat="1" applyFont="1" applyFill="1" applyBorder="1" applyAlignment="1">
      <alignment horizontal="center" vertical="center"/>
    </xf>
    <xf numFmtId="0" fontId="13" fillId="0" borderId="7" xfId="0" applyFont="1" applyFill="1" applyBorder="1" applyAlignment="1">
      <alignment horizontal="center" vertical="center"/>
    </xf>
    <xf numFmtId="1" fontId="0" fillId="0" borderId="8" xfId="0" applyNumberFormat="1" applyFill="1" applyBorder="1" applyAlignment="1">
      <alignment horizontal="center"/>
    </xf>
    <xf numFmtId="0" fontId="13" fillId="0" borderId="8" xfId="0" applyFont="1" applyFill="1" applyBorder="1" applyAlignment="1">
      <alignment horizontal="center" vertical="center"/>
    </xf>
    <xf numFmtId="8" fontId="13" fillId="0" borderId="11" xfId="0" applyNumberFormat="1" applyFont="1" applyFill="1" applyBorder="1" applyAlignment="1">
      <alignment horizontal="center" vertical="center"/>
    </xf>
    <xf numFmtId="8" fontId="13" fillId="0" borderId="0" xfId="0" applyNumberFormat="1" applyFont="1" applyFill="1" applyBorder="1" applyAlignment="1">
      <alignment horizontal="center" vertical="center"/>
    </xf>
    <xf numFmtId="167" fontId="13" fillId="0" borderId="0" xfId="0" applyNumberFormat="1" applyFont="1" applyFill="1" applyBorder="1" applyAlignment="1">
      <alignment horizontal="center" vertical="center"/>
    </xf>
    <xf numFmtId="167" fontId="13" fillId="0" borderId="8" xfId="0" applyNumberFormat="1" applyFont="1" applyFill="1" applyBorder="1" applyAlignment="1">
      <alignment horizontal="center" vertical="center"/>
    </xf>
    <xf numFmtId="3" fontId="13" fillId="0" borderId="9" xfId="0" applyNumberFormat="1" applyFont="1" applyFill="1" applyBorder="1" applyAlignment="1">
      <alignment horizontal="center" vertical="center"/>
    </xf>
    <xf numFmtId="8" fontId="13" fillId="0" borderId="12" xfId="0" applyNumberFormat="1" applyFont="1" applyFill="1" applyBorder="1" applyAlignment="1">
      <alignment horizontal="center" vertical="center"/>
    </xf>
    <xf numFmtId="8" fontId="13" fillId="0" borderId="3" xfId="0" applyNumberFormat="1" applyFont="1" applyFill="1" applyBorder="1" applyAlignment="1">
      <alignment horizontal="center" vertical="center"/>
    </xf>
    <xf numFmtId="167" fontId="13" fillId="0" borderId="3" xfId="0" applyNumberFormat="1" applyFont="1" applyFill="1" applyBorder="1" applyAlignment="1">
      <alignment horizontal="center" vertical="center"/>
    </xf>
    <xf numFmtId="167" fontId="13" fillId="0" borderId="10" xfId="0" applyNumberFormat="1" applyFont="1" applyFill="1" applyBorder="1" applyAlignment="1">
      <alignment horizontal="center" vertical="center"/>
    </xf>
    <xf numFmtId="0" fontId="0" fillId="0" borderId="14" xfId="0" applyFont="1" applyFill="1" applyBorder="1" applyAlignment="1">
      <alignment horizontal="center"/>
    </xf>
    <xf numFmtId="0" fontId="0" fillId="0" borderId="0" xfId="0" applyFill="1" applyAlignment="1">
      <alignment horizontal="center"/>
    </xf>
    <xf numFmtId="0" fontId="0" fillId="0" borderId="15" xfId="0" applyFill="1" applyBorder="1" applyAlignment="1">
      <alignment horizontal="center"/>
    </xf>
    <xf numFmtId="0" fontId="0" fillId="0" borderId="16" xfId="0" applyFill="1" applyBorder="1" applyAlignment="1">
      <alignment horizontal="center"/>
    </xf>
    <xf numFmtId="0" fontId="16" fillId="0" borderId="7" xfId="0" applyFont="1" applyFill="1" applyBorder="1" applyAlignment="1">
      <alignment horizontal="center" vertical="center"/>
    </xf>
    <xf numFmtId="172" fontId="13" fillId="0" borderId="11" xfId="0" applyNumberFormat="1" applyFont="1" applyFill="1" applyBorder="1" applyAlignment="1">
      <alignment horizontal="center" vertical="center"/>
    </xf>
    <xf numFmtId="172" fontId="13" fillId="0" borderId="0" xfId="0" applyNumberFormat="1" applyFont="1" applyFill="1" applyBorder="1" applyAlignment="1">
      <alignment horizontal="center" vertical="center"/>
    </xf>
    <xf numFmtId="172" fontId="15" fillId="0" borderId="0" xfId="0" applyNumberFormat="1" applyFont="1" applyFill="1" applyBorder="1"/>
    <xf numFmtId="172" fontId="13" fillId="0" borderId="8" xfId="0" applyNumberFormat="1" applyFont="1" applyFill="1" applyBorder="1" applyAlignment="1">
      <alignment horizontal="center" vertical="center"/>
    </xf>
    <xf numFmtId="0" fontId="1" fillId="0" borderId="5" xfId="0" applyFont="1" applyFill="1" applyBorder="1" applyAlignment="1">
      <alignment horizontal="center"/>
    </xf>
    <xf numFmtId="167" fontId="0" fillId="0" borderId="5" xfId="0" applyNumberFormat="1" applyFill="1" applyBorder="1" applyAlignment="1">
      <alignment horizontal="center"/>
    </xf>
    <xf numFmtId="167" fontId="0" fillId="0" borderId="4" xfId="0" applyNumberFormat="1" applyFill="1" applyBorder="1" applyAlignment="1">
      <alignment horizontal="center"/>
    </xf>
    <xf numFmtId="167" fontId="0" fillId="0" borderId="6" xfId="0" applyNumberFormat="1" applyFill="1" applyBorder="1" applyAlignment="1">
      <alignment horizontal="center"/>
    </xf>
    <xf numFmtId="169" fontId="0" fillId="0" borderId="5" xfId="0" applyNumberFormat="1" applyFill="1" applyBorder="1" applyAlignment="1">
      <alignment horizontal="center"/>
    </xf>
    <xf numFmtId="169" fontId="0" fillId="0" borderId="6" xfId="0" applyNumberFormat="1" applyFill="1" applyBorder="1" applyAlignment="1">
      <alignment horizontal="center"/>
    </xf>
    <xf numFmtId="168" fontId="0" fillId="0" borderId="5" xfId="0" applyNumberFormat="1" applyFill="1" applyBorder="1" applyAlignment="1">
      <alignment horizontal="center"/>
    </xf>
    <xf numFmtId="168" fontId="0" fillId="0" borderId="6" xfId="0" applyNumberFormat="1" applyFill="1" applyBorder="1" applyAlignment="1">
      <alignment horizontal="center"/>
    </xf>
    <xf numFmtId="0" fontId="1" fillId="0" borderId="7" xfId="0" applyFont="1" applyFill="1" applyBorder="1" applyAlignment="1">
      <alignment horizontal="center"/>
    </xf>
    <xf numFmtId="167" fontId="0" fillId="0" borderId="7" xfId="0" applyNumberFormat="1" applyFill="1" applyBorder="1" applyAlignment="1">
      <alignment horizontal="center"/>
    </xf>
    <xf numFmtId="167" fontId="0" fillId="0" borderId="8" xfId="0" applyNumberFormat="1" applyFill="1" applyBorder="1" applyAlignment="1">
      <alignment horizontal="center"/>
    </xf>
    <xf numFmtId="169" fontId="0" fillId="0" borderId="7" xfId="0" applyNumberFormat="1" applyFill="1" applyBorder="1" applyAlignment="1">
      <alignment horizontal="center"/>
    </xf>
    <xf numFmtId="169" fontId="0" fillId="0" borderId="8" xfId="0" applyNumberFormat="1" applyFill="1" applyBorder="1" applyAlignment="1">
      <alignment horizontal="center"/>
    </xf>
    <xf numFmtId="168" fontId="0" fillId="0" borderId="7" xfId="0" applyNumberFormat="1" applyFill="1" applyBorder="1" applyAlignment="1">
      <alignment horizontal="center"/>
    </xf>
    <xf numFmtId="168" fontId="0" fillId="0" borderId="8" xfId="0" applyNumberFormat="1" applyFill="1" applyBorder="1" applyAlignment="1">
      <alignment horizontal="center"/>
    </xf>
    <xf numFmtId="0" fontId="0" fillId="0" borderId="12" xfId="0" applyFill="1" applyBorder="1" applyAlignment="1">
      <alignment horizontal="center"/>
    </xf>
    <xf numFmtId="0" fontId="1" fillId="0" borderId="9" xfId="0" applyFont="1" applyFill="1" applyBorder="1" applyAlignment="1">
      <alignment horizontal="center"/>
    </xf>
    <xf numFmtId="167" fontId="0" fillId="0" borderId="9" xfId="0" applyNumberFormat="1" applyFill="1" applyBorder="1" applyAlignment="1">
      <alignment horizontal="center"/>
    </xf>
    <xf numFmtId="167" fontId="0" fillId="0" borderId="3" xfId="0" applyNumberFormat="1" applyFill="1" applyBorder="1" applyAlignment="1">
      <alignment horizontal="center"/>
    </xf>
    <xf numFmtId="167" fontId="0" fillId="0" borderId="10" xfId="0" applyNumberFormat="1" applyFill="1" applyBorder="1" applyAlignment="1">
      <alignment horizontal="center"/>
    </xf>
    <xf numFmtId="169" fontId="0" fillId="0" borderId="9" xfId="0" applyNumberFormat="1" applyFill="1" applyBorder="1" applyAlignment="1">
      <alignment horizontal="center"/>
    </xf>
    <xf numFmtId="169" fontId="0" fillId="0" borderId="10" xfId="0" applyNumberFormat="1" applyFill="1" applyBorder="1" applyAlignment="1">
      <alignment horizontal="center"/>
    </xf>
    <xf numFmtId="168" fontId="0" fillId="0" borderId="9" xfId="0" applyNumberFormat="1" applyFill="1" applyBorder="1" applyAlignment="1">
      <alignment horizontal="center"/>
    </xf>
    <xf numFmtId="168" fontId="0" fillId="0" borderId="10" xfId="0" applyNumberFormat="1" applyFill="1" applyBorder="1" applyAlignment="1">
      <alignment horizontal="center"/>
    </xf>
    <xf numFmtId="0" fontId="0" fillId="0" borderId="13" xfId="0" applyFill="1" applyBorder="1" applyAlignment="1">
      <alignment horizontal="center"/>
    </xf>
    <xf numFmtId="7" fontId="0" fillId="0" borderId="9" xfId="0" applyNumberFormat="1" applyFill="1" applyBorder="1" applyAlignment="1">
      <alignment horizontal="center"/>
    </xf>
    <xf numFmtId="5" fontId="0" fillId="0" borderId="9" xfId="0" applyNumberFormat="1" applyFill="1" applyBorder="1" applyAlignment="1">
      <alignment horizontal="center"/>
    </xf>
    <xf numFmtId="0" fontId="17" fillId="0" borderId="0" xfId="6" applyFont="1"/>
    <xf numFmtId="0" fontId="17" fillId="0" borderId="0" xfId="6" applyFont="1" applyBorder="1" applyAlignment="1">
      <alignment horizontal="left"/>
    </xf>
    <xf numFmtId="0" fontId="1" fillId="0" borderId="0" xfId="0" applyFont="1" applyFill="1" applyBorder="1" applyAlignment="1"/>
    <xf numFmtId="1" fontId="4" fillId="2" borderId="1" xfId="3" applyNumberFormat="1" applyAlignment="1" applyProtection="1">
      <alignment horizontal="center"/>
      <protection locked="0"/>
    </xf>
    <xf numFmtId="0" fontId="0" fillId="0" borderId="0" xfId="0" applyFont="1" applyAlignment="1">
      <alignment horizontal="left" indent="2"/>
    </xf>
    <xf numFmtId="165" fontId="4" fillId="2" borderId="1" xfId="1" applyNumberFormat="1" applyFont="1" applyFill="1" applyBorder="1" applyAlignment="1" applyProtection="1">
      <alignment horizontal="center"/>
      <protection locked="0"/>
    </xf>
    <xf numFmtId="171" fontId="4" fillId="2" borderId="1" xfId="1" applyNumberFormat="1" applyFont="1" applyFill="1" applyBorder="1" applyAlignment="1" applyProtection="1">
      <alignment horizontal="center"/>
      <protection locked="0"/>
    </xf>
    <xf numFmtId="173" fontId="0" fillId="0" borderId="0" xfId="0" applyNumberFormat="1"/>
    <xf numFmtId="2" fontId="5" fillId="3" borderId="2" xfId="5" applyNumberFormat="1" applyAlignment="1">
      <alignment horizontal="center"/>
    </xf>
    <xf numFmtId="0" fontId="1" fillId="0" borderId="2" xfId="0" applyFont="1" applyBorder="1" applyAlignment="1">
      <alignment horizontal="center" wrapText="1"/>
    </xf>
    <xf numFmtId="1" fontId="5" fillId="3" borderId="2" xfId="5" applyNumberFormat="1" applyAlignment="1">
      <alignment horizontal="center"/>
    </xf>
    <xf numFmtId="0" fontId="0" fillId="5" borderId="5" xfId="0" applyFill="1" applyBorder="1" applyAlignment="1">
      <alignment horizontal="left" vertical="top" wrapText="1"/>
    </xf>
    <xf numFmtId="0" fontId="0" fillId="5" borderId="4" xfId="0" applyFill="1" applyBorder="1" applyAlignment="1">
      <alignment horizontal="left" vertical="top" wrapText="1"/>
    </xf>
    <xf numFmtId="0" fontId="0" fillId="5" borderId="6" xfId="0" applyFill="1" applyBorder="1" applyAlignment="1">
      <alignment horizontal="left" vertical="top" wrapText="1"/>
    </xf>
    <xf numFmtId="0" fontId="0" fillId="5" borderId="7" xfId="0" applyFill="1" applyBorder="1" applyAlignment="1">
      <alignment horizontal="left" vertical="top" wrapText="1"/>
    </xf>
    <xf numFmtId="0" fontId="0" fillId="5" borderId="0" xfId="0" applyFill="1" applyBorder="1" applyAlignment="1">
      <alignment horizontal="left" vertical="top" wrapText="1"/>
    </xf>
    <xf numFmtId="0" fontId="0" fillId="5" borderId="8" xfId="0" applyFill="1" applyBorder="1" applyAlignment="1">
      <alignment horizontal="left" vertical="top" wrapText="1"/>
    </xf>
    <xf numFmtId="0" fontId="0" fillId="5" borderId="9" xfId="0" applyFill="1" applyBorder="1" applyAlignment="1">
      <alignment horizontal="left" vertical="top" wrapText="1"/>
    </xf>
    <xf numFmtId="0" fontId="0" fillId="5" borderId="3" xfId="0" applyFill="1" applyBorder="1" applyAlignment="1">
      <alignment horizontal="left" vertical="top" wrapText="1"/>
    </xf>
    <xf numFmtId="0" fontId="0" fillId="5" borderId="10" xfId="0" applyFill="1" applyBorder="1" applyAlignment="1">
      <alignment horizontal="left" vertical="top" wrapText="1"/>
    </xf>
    <xf numFmtId="0" fontId="1" fillId="7" borderId="13" xfId="0" applyFont="1" applyFill="1" applyBorder="1" applyAlignment="1">
      <alignment horizontal="center" wrapText="1"/>
    </xf>
    <xf numFmtId="0" fontId="1" fillId="7" borderId="12" xfId="0" applyFont="1" applyFill="1" applyBorder="1" applyAlignment="1">
      <alignment horizontal="center" wrapText="1"/>
    </xf>
    <xf numFmtId="0" fontId="1" fillId="7" borderId="5" xfId="0" applyFont="1" applyFill="1" applyBorder="1" applyAlignment="1">
      <alignment horizontal="center"/>
    </xf>
    <xf numFmtId="0" fontId="1" fillId="7" borderId="4" xfId="0" applyFont="1" applyFill="1" applyBorder="1" applyAlignment="1">
      <alignment horizontal="center"/>
    </xf>
    <xf numFmtId="0" fontId="1" fillId="7" borderId="6" xfId="0" applyFont="1" applyFill="1" applyBorder="1" applyAlignment="1">
      <alignment horizontal="center"/>
    </xf>
    <xf numFmtId="0" fontId="1" fillId="0" borderId="0" xfId="0" applyFont="1" applyAlignment="1">
      <alignment horizontal="center"/>
    </xf>
    <xf numFmtId="0" fontId="14" fillId="0" borderId="5"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4" xfId="0" applyFont="1" applyFill="1" applyBorder="1" applyAlignment="1">
      <alignment horizontal="center" vertical="center"/>
    </xf>
    <xf numFmtId="0" fontId="7" fillId="0" borderId="4" xfId="0" applyFont="1" applyBorder="1" applyAlignment="1">
      <alignment horizontal="left" vertical="top" wrapText="1"/>
    </xf>
    <xf numFmtId="0" fontId="7" fillId="0" borderId="0" xfId="0" applyFont="1" applyBorder="1" applyAlignment="1">
      <alignment horizontal="left" vertical="top" wrapText="1"/>
    </xf>
  </cellXfs>
  <cellStyles count="7">
    <cellStyle name="Comma" xfId="1" builtinId="3"/>
    <cellStyle name="Currency" xfId="2" builtinId="4"/>
    <cellStyle name="Hyperlink" xfId="6" builtinId="8"/>
    <cellStyle name="Input" xfId="3" builtinId="20"/>
    <cellStyle name="Normal" xfId="0" builtinId="0"/>
    <cellStyle name="Output" xfId="5" builtinId="21"/>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cs.aws.amazon.com/AWSEC2/latest/UserGuide/general-purpose-instances.html" TargetMode="External"/><Relationship Id="rId1" Type="http://schemas.openxmlformats.org/officeDocument/2006/relationships/hyperlink" Target="https://docs.aws.amazon.com/AWSEC2/latest/UserGuide/ebs-optimized.htm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sheetPr>
  <dimension ref="A1:AD106"/>
  <sheetViews>
    <sheetView showGridLines="0" tabSelected="1" zoomScaleNormal="100" workbookViewId="0">
      <selection activeCell="E7" sqref="E7"/>
    </sheetView>
  </sheetViews>
  <sheetFormatPr defaultRowHeight="14.5" x14ac:dyDescent="0.35"/>
  <cols>
    <col min="1" max="1" width="3.453125" customWidth="1"/>
    <col min="2" max="2" width="34.90625" customWidth="1"/>
    <col min="3" max="3" width="11.36328125" customWidth="1"/>
    <col min="4" max="4" width="11" customWidth="1"/>
    <col min="5" max="5" width="18.1796875" customWidth="1"/>
    <col min="6" max="6" width="15.6328125" customWidth="1"/>
    <col min="7" max="7" width="10.6328125" customWidth="1"/>
    <col min="8" max="8" width="11.90625" customWidth="1"/>
    <col min="9" max="9" width="13.1796875" bestFit="1" customWidth="1"/>
    <col min="10" max="10" width="11.6328125" customWidth="1"/>
    <col min="11" max="11" width="14.08984375" bestFit="1" customWidth="1"/>
    <col min="12" max="12" width="14" bestFit="1" customWidth="1"/>
    <col min="13" max="13" width="14.08984375" bestFit="1" customWidth="1"/>
    <col min="14" max="14" width="14" bestFit="1" customWidth="1"/>
    <col min="15" max="15" width="15.1796875" bestFit="1" customWidth="1"/>
    <col min="16" max="16" width="15.54296875" customWidth="1"/>
    <col min="17" max="17" width="11.90625" customWidth="1"/>
    <col min="18" max="18" width="10.54296875" bestFit="1" customWidth="1"/>
    <col min="19" max="19" width="11.08984375" bestFit="1" customWidth="1"/>
    <col min="20" max="21" width="11.08984375" customWidth="1"/>
    <col min="22" max="22" width="10.54296875" bestFit="1" customWidth="1"/>
    <col min="23" max="23" width="11" bestFit="1" customWidth="1"/>
    <col min="24" max="26" width="9.08984375" bestFit="1" customWidth="1"/>
    <col min="27" max="27" width="11.54296875" bestFit="1" customWidth="1"/>
    <col min="28" max="29" width="9.08984375" bestFit="1" customWidth="1"/>
    <col min="30" max="30" width="11.08984375" bestFit="1" customWidth="1"/>
  </cols>
  <sheetData>
    <row r="1" spans="1:25" x14ac:dyDescent="0.35">
      <c r="B1" s="1" t="s">
        <v>91</v>
      </c>
    </row>
    <row r="2" spans="1:25" ht="14.4" customHeight="1" x14ac:dyDescent="0.35">
      <c r="B2" s="196" t="s">
        <v>98</v>
      </c>
      <c r="C2" s="197"/>
      <c r="D2" s="197"/>
      <c r="E2" s="197"/>
      <c r="F2" s="197"/>
      <c r="G2" s="198"/>
    </row>
    <row r="3" spans="1:25" x14ac:dyDescent="0.35">
      <c r="B3" s="199"/>
      <c r="C3" s="200"/>
      <c r="D3" s="200"/>
      <c r="E3" s="200"/>
      <c r="F3" s="200"/>
      <c r="G3" s="201"/>
    </row>
    <row r="4" spans="1:25" x14ac:dyDescent="0.35">
      <c r="B4" s="199"/>
      <c r="C4" s="200"/>
      <c r="D4" s="200"/>
      <c r="E4" s="200"/>
      <c r="F4" s="200"/>
      <c r="G4" s="201"/>
    </row>
    <row r="5" spans="1:25" x14ac:dyDescent="0.35">
      <c r="B5" s="199"/>
      <c r="C5" s="200"/>
      <c r="D5" s="200"/>
      <c r="E5" s="200"/>
      <c r="F5" s="200"/>
      <c r="G5" s="201"/>
    </row>
    <row r="6" spans="1:25" x14ac:dyDescent="0.35">
      <c r="B6" s="202"/>
      <c r="C6" s="203"/>
      <c r="D6" s="203"/>
      <c r="E6" s="203"/>
      <c r="F6" s="203"/>
      <c r="G6" s="204"/>
    </row>
    <row r="7" spans="1:25" x14ac:dyDescent="0.35">
      <c r="B7" s="84"/>
      <c r="C7" s="84"/>
      <c r="D7" s="84"/>
      <c r="E7" s="84"/>
      <c r="F7" s="84"/>
      <c r="G7" s="84"/>
    </row>
    <row r="8" spans="1:25" x14ac:dyDescent="0.35">
      <c r="C8" s="81" t="s">
        <v>96</v>
      </c>
      <c r="E8" s="31" t="s">
        <v>85</v>
      </c>
      <c r="F8" s="15"/>
      <c r="H8" s="15"/>
      <c r="K8" s="17"/>
      <c r="L8" s="15"/>
      <c r="M8" s="15"/>
      <c r="N8" s="18"/>
    </row>
    <row r="9" spans="1:25" x14ac:dyDescent="0.35">
      <c r="A9" s="11"/>
      <c r="B9" s="12" t="s">
        <v>40</v>
      </c>
      <c r="E9" s="119"/>
      <c r="F9" s="205" t="s">
        <v>97</v>
      </c>
      <c r="G9" s="207" t="s">
        <v>25</v>
      </c>
      <c r="H9" s="208"/>
      <c r="I9" s="208"/>
      <c r="J9" s="209"/>
      <c r="K9" s="207" t="s">
        <v>59</v>
      </c>
      <c r="L9" s="208"/>
      <c r="M9" s="209"/>
      <c r="N9" s="107"/>
      <c r="Y9" s="29"/>
    </row>
    <row r="10" spans="1:25" ht="14.4" customHeight="1" x14ac:dyDescent="0.35">
      <c r="B10" s="10" t="s">
        <v>37</v>
      </c>
      <c r="C10" s="86">
        <v>1</v>
      </c>
      <c r="E10" s="113" t="s">
        <v>27</v>
      </c>
      <c r="F10" s="206"/>
      <c r="G10" s="108" t="s">
        <v>16</v>
      </c>
      <c r="H10" s="109" t="s">
        <v>13</v>
      </c>
      <c r="I10" s="110" t="s">
        <v>68</v>
      </c>
      <c r="J10" s="111" t="s">
        <v>26</v>
      </c>
      <c r="K10" s="108" t="s">
        <v>56</v>
      </c>
      <c r="L10" s="109" t="s">
        <v>57</v>
      </c>
      <c r="M10" s="112" t="s">
        <v>26</v>
      </c>
      <c r="N10" s="113" t="s">
        <v>63</v>
      </c>
      <c r="Y10" s="29"/>
    </row>
    <row r="11" spans="1:25" x14ac:dyDescent="0.35">
      <c r="B11" s="10" t="s">
        <v>8</v>
      </c>
      <c r="C11" s="87">
        <v>3</v>
      </c>
      <c r="E11" s="182" t="s">
        <v>102</v>
      </c>
      <c r="F11" s="99">
        <f t="shared" ref="F11:F19" si="0">MAX(C93:H93)</f>
        <v>3</v>
      </c>
      <c r="G11" s="24">
        <f t="shared" ref="G11:G19" si="1">F11*J77</f>
        <v>0.1368</v>
      </c>
      <c r="H11" s="25">
        <f t="shared" ref="H11:H19" si="2">$C$54*1024*O77/730</f>
        <v>5.7791095890410961E-2</v>
      </c>
      <c r="I11" s="34">
        <f t="shared" ref="I11:I19" si="3">$C$66*P77</f>
        <v>9.375E-2</v>
      </c>
      <c r="J11" s="25">
        <f t="shared" ref="J11:J19" si="4">SUM(G11:H11)</f>
        <v>0.19459109589041096</v>
      </c>
      <c r="K11" s="33">
        <f t="shared" ref="K11:K19" si="5">J11*730</f>
        <v>142.0515</v>
      </c>
      <c r="L11" s="30">
        <f t="shared" ref="L11:L19" si="6">I11*730</f>
        <v>68.4375</v>
      </c>
      <c r="M11" s="100">
        <f t="shared" ref="M11:M19" si="7">L11+K11</f>
        <v>210.489</v>
      </c>
      <c r="N11" s="102">
        <f t="shared" ref="N11:N19" si="8">(M11)/($C$10/1000*3600*730)</f>
        <v>8.0094748858447487E-2</v>
      </c>
      <c r="Y11" s="29"/>
    </row>
    <row r="12" spans="1:25" x14ac:dyDescent="0.35">
      <c r="B12" s="10" t="s">
        <v>82</v>
      </c>
      <c r="C12" s="86">
        <v>1</v>
      </c>
      <c r="E12" s="21" t="s">
        <v>7</v>
      </c>
      <c r="F12" s="90">
        <f t="shared" si="0"/>
        <v>3</v>
      </c>
      <c r="G12" s="24">
        <f t="shared" si="1"/>
        <v>0.63</v>
      </c>
      <c r="H12" s="25">
        <f t="shared" si="2"/>
        <v>5.7791095890410961E-2</v>
      </c>
      <c r="I12" s="34">
        <f t="shared" si="3"/>
        <v>9.375E-2</v>
      </c>
      <c r="J12" s="25">
        <f t="shared" si="4"/>
        <v>0.68779109589041099</v>
      </c>
      <c r="K12" s="33">
        <f t="shared" si="5"/>
        <v>502.08750000000003</v>
      </c>
      <c r="L12" s="30">
        <f t="shared" si="6"/>
        <v>68.4375</v>
      </c>
      <c r="M12" s="100">
        <f t="shared" si="7"/>
        <v>570.52500000000009</v>
      </c>
      <c r="N12" s="102">
        <f t="shared" si="8"/>
        <v>0.21709474885844751</v>
      </c>
      <c r="Y12" s="29"/>
    </row>
    <row r="13" spans="1:25" x14ac:dyDescent="0.35">
      <c r="B13" s="10" t="s">
        <v>18</v>
      </c>
      <c r="C13" s="87">
        <v>24</v>
      </c>
      <c r="E13" s="21" t="s">
        <v>0</v>
      </c>
      <c r="F13" s="90">
        <f t="shared" si="0"/>
        <v>3</v>
      </c>
      <c r="G13" s="24">
        <f t="shared" si="1"/>
        <v>1.26</v>
      </c>
      <c r="H13" s="25">
        <f t="shared" si="2"/>
        <v>5.7791095890410961E-2</v>
      </c>
      <c r="I13" s="34">
        <f t="shared" si="3"/>
        <v>9.375E-2</v>
      </c>
      <c r="J13" s="25">
        <f t="shared" si="4"/>
        <v>1.3177910958904109</v>
      </c>
      <c r="K13" s="33">
        <f t="shared" si="5"/>
        <v>961.98749999999995</v>
      </c>
      <c r="L13" s="30">
        <f t="shared" si="6"/>
        <v>68.4375</v>
      </c>
      <c r="M13" s="100">
        <f t="shared" si="7"/>
        <v>1030.425</v>
      </c>
      <c r="N13" s="102">
        <f t="shared" si="8"/>
        <v>0.39209474885844747</v>
      </c>
      <c r="Y13" s="29"/>
    </row>
    <row r="14" spans="1:25" x14ac:dyDescent="0.35">
      <c r="B14" s="62" t="s">
        <v>89</v>
      </c>
      <c r="C14" s="87" t="b">
        <v>0</v>
      </c>
      <c r="E14" s="21" t="s">
        <v>2</v>
      </c>
      <c r="F14" s="90">
        <f t="shared" si="0"/>
        <v>3</v>
      </c>
      <c r="G14" s="24">
        <f t="shared" si="1"/>
        <v>2.52</v>
      </c>
      <c r="H14" s="25">
        <f t="shared" si="2"/>
        <v>5.7791095890410961E-2</v>
      </c>
      <c r="I14" s="34">
        <f t="shared" si="3"/>
        <v>9.375E-2</v>
      </c>
      <c r="J14" s="25">
        <f t="shared" si="4"/>
        <v>2.5777910958904111</v>
      </c>
      <c r="K14" s="33">
        <f t="shared" si="5"/>
        <v>1881.7875000000001</v>
      </c>
      <c r="L14" s="30">
        <f t="shared" si="6"/>
        <v>68.4375</v>
      </c>
      <c r="M14" s="100">
        <f t="shared" si="7"/>
        <v>1950.2250000000001</v>
      </c>
      <c r="N14" s="102">
        <f t="shared" si="8"/>
        <v>0.74209474885844751</v>
      </c>
      <c r="Y14" s="29"/>
    </row>
    <row r="15" spans="1:25" x14ac:dyDescent="0.35">
      <c r="E15" s="21" t="s">
        <v>3</v>
      </c>
      <c r="F15" s="90">
        <f t="shared" si="0"/>
        <v>3</v>
      </c>
      <c r="G15" s="24">
        <f t="shared" si="1"/>
        <v>5.04</v>
      </c>
      <c r="H15" s="25">
        <f t="shared" si="2"/>
        <v>5.7791095890410961E-2</v>
      </c>
      <c r="I15" s="34">
        <f t="shared" si="3"/>
        <v>9.375E-2</v>
      </c>
      <c r="J15" s="25">
        <f t="shared" si="4"/>
        <v>5.0977910958904111</v>
      </c>
      <c r="K15" s="33">
        <f t="shared" si="5"/>
        <v>3721.3875000000003</v>
      </c>
      <c r="L15" s="30">
        <f t="shared" si="6"/>
        <v>68.4375</v>
      </c>
      <c r="M15" s="100">
        <f t="shared" si="7"/>
        <v>3789.8250000000003</v>
      </c>
      <c r="N15" s="102">
        <f t="shared" si="8"/>
        <v>1.4420947488584477</v>
      </c>
      <c r="Y15" s="29"/>
    </row>
    <row r="16" spans="1:25" x14ac:dyDescent="0.35">
      <c r="B16" s="7" t="s">
        <v>81</v>
      </c>
      <c r="E16" s="21" t="s">
        <v>106</v>
      </c>
      <c r="F16" s="90">
        <f t="shared" si="0"/>
        <v>3</v>
      </c>
      <c r="G16" s="24">
        <f t="shared" si="1"/>
        <v>10.08</v>
      </c>
      <c r="H16" s="25">
        <f t="shared" si="2"/>
        <v>5.7791095890410961E-2</v>
      </c>
      <c r="I16" s="34">
        <f t="shared" si="3"/>
        <v>9.375E-2</v>
      </c>
      <c r="J16" s="25">
        <f t="shared" si="4"/>
        <v>10.13779109589041</v>
      </c>
      <c r="K16" s="33">
        <f t="shared" si="5"/>
        <v>7400.5874999999996</v>
      </c>
      <c r="L16" s="30">
        <f t="shared" si="6"/>
        <v>68.4375</v>
      </c>
      <c r="M16" s="100">
        <f t="shared" si="7"/>
        <v>7469.0249999999996</v>
      </c>
      <c r="N16" s="102">
        <f t="shared" si="8"/>
        <v>2.8420947488584472</v>
      </c>
    </row>
    <row r="17" spans="2:18" x14ac:dyDescent="0.35">
      <c r="B17" s="10" t="s">
        <v>66</v>
      </c>
      <c r="C17" s="89">
        <f>300000</f>
        <v>300000</v>
      </c>
      <c r="E17" s="21" t="s">
        <v>4</v>
      </c>
      <c r="F17" s="90">
        <f t="shared" si="0"/>
        <v>3</v>
      </c>
      <c r="G17" s="24">
        <f t="shared" si="1"/>
        <v>15.120000000000001</v>
      </c>
      <c r="H17" s="25">
        <f t="shared" si="2"/>
        <v>5.7791095890410961E-2</v>
      </c>
      <c r="I17" s="34">
        <f t="shared" si="3"/>
        <v>9.375E-2</v>
      </c>
      <c r="J17" s="25">
        <f t="shared" si="4"/>
        <v>15.177791095890411</v>
      </c>
      <c r="K17" s="33">
        <f t="shared" si="5"/>
        <v>11079.7875</v>
      </c>
      <c r="L17" s="30">
        <f t="shared" si="6"/>
        <v>68.4375</v>
      </c>
      <c r="M17" s="100">
        <f t="shared" si="7"/>
        <v>11148.225</v>
      </c>
      <c r="N17" s="102">
        <f t="shared" si="8"/>
        <v>4.242094748858448</v>
      </c>
    </row>
    <row r="18" spans="2:18" x14ac:dyDescent="0.35">
      <c r="B18" s="10" t="s">
        <v>67</v>
      </c>
      <c r="C18" s="87">
        <v>1</v>
      </c>
      <c r="E18" s="21" t="s">
        <v>107</v>
      </c>
      <c r="F18" s="90">
        <f t="shared" si="0"/>
        <v>3</v>
      </c>
      <c r="G18" s="24">
        <f t="shared" si="1"/>
        <v>20.16</v>
      </c>
      <c r="H18" s="25">
        <f t="shared" si="2"/>
        <v>5.7791095890410961E-2</v>
      </c>
      <c r="I18" s="34">
        <f t="shared" si="3"/>
        <v>9.375E-2</v>
      </c>
      <c r="J18" s="25">
        <f t="shared" si="4"/>
        <v>20.217791095890412</v>
      </c>
      <c r="K18" s="33">
        <f t="shared" si="5"/>
        <v>14758.987500000001</v>
      </c>
      <c r="L18" s="30">
        <f t="shared" si="6"/>
        <v>68.4375</v>
      </c>
      <c r="M18" s="100">
        <f t="shared" si="7"/>
        <v>14827.425000000001</v>
      </c>
      <c r="N18" s="102">
        <f t="shared" si="8"/>
        <v>5.6420947488584483</v>
      </c>
    </row>
    <row r="19" spans="2:18" x14ac:dyDescent="0.35">
      <c r="B19" s="10" t="s">
        <v>71</v>
      </c>
      <c r="C19" s="87">
        <v>1</v>
      </c>
      <c r="E19" s="173" t="s">
        <v>5</v>
      </c>
      <c r="F19" s="91">
        <f t="shared" si="0"/>
        <v>3</v>
      </c>
      <c r="G19" s="183">
        <f t="shared" si="1"/>
        <v>30.240000000000002</v>
      </c>
      <c r="H19" s="32">
        <f t="shared" si="2"/>
        <v>5.7791095890410961E-2</v>
      </c>
      <c r="I19" s="35">
        <f t="shared" si="3"/>
        <v>9.375E-2</v>
      </c>
      <c r="J19" s="32">
        <f t="shared" si="4"/>
        <v>30.297791095890414</v>
      </c>
      <c r="K19" s="184">
        <f t="shared" si="5"/>
        <v>22117.387500000001</v>
      </c>
      <c r="L19" s="40">
        <f t="shared" si="6"/>
        <v>68.4375</v>
      </c>
      <c r="M19" s="101">
        <f t="shared" si="7"/>
        <v>22185.825000000001</v>
      </c>
      <c r="N19" s="103">
        <f t="shared" si="8"/>
        <v>8.4420947488584481</v>
      </c>
    </row>
    <row r="20" spans="2:18" x14ac:dyDescent="0.35">
      <c r="F20" s="46"/>
      <c r="G20" s="98" t="s">
        <v>86</v>
      </c>
      <c r="H20" s="98"/>
      <c r="I20" s="122" t="s">
        <v>45</v>
      </c>
      <c r="J20" s="14"/>
      <c r="L20" s="30"/>
      <c r="M20" s="30"/>
    </row>
    <row r="21" spans="2:18" x14ac:dyDescent="0.35">
      <c r="B21" s="7" t="s">
        <v>83</v>
      </c>
    </row>
    <row r="22" spans="2:18" ht="14.4" customHeight="1" x14ac:dyDescent="0.35">
      <c r="B22" s="10" t="s">
        <v>104</v>
      </c>
      <c r="C22" s="87">
        <v>3</v>
      </c>
      <c r="E22" s="31" t="s">
        <v>84</v>
      </c>
    </row>
    <row r="23" spans="2:18" x14ac:dyDescent="0.35">
      <c r="B23" s="62" t="s">
        <v>103</v>
      </c>
      <c r="C23" s="87" t="b">
        <v>0</v>
      </c>
      <c r="E23" s="119"/>
      <c r="F23" s="205" t="s">
        <v>97</v>
      </c>
      <c r="G23" s="207" t="s">
        <v>25</v>
      </c>
      <c r="H23" s="208"/>
      <c r="I23" s="208"/>
      <c r="J23" s="208"/>
      <c r="K23" s="208"/>
      <c r="L23" s="209"/>
      <c r="M23" s="207" t="s">
        <v>62</v>
      </c>
      <c r="N23" s="209"/>
      <c r="O23" s="207" t="s">
        <v>15</v>
      </c>
      <c r="P23" s="209"/>
      <c r="Q23" s="207" t="s">
        <v>63</v>
      </c>
      <c r="R23" s="209"/>
    </row>
    <row r="24" spans="2:18" ht="14.4" customHeight="1" x14ac:dyDescent="0.35">
      <c r="B24" s="10" t="s">
        <v>30</v>
      </c>
      <c r="C24" s="88">
        <v>0.2</v>
      </c>
      <c r="E24" s="113" t="s">
        <v>27</v>
      </c>
      <c r="F24" s="206"/>
      <c r="G24" s="114" t="s">
        <v>16</v>
      </c>
      <c r="H24" s="115" t="s">
        <v>13</v>
      </c>
      <c r="I24" s="110" t="s">
        <v>68</v>
      </c>
      <c r="J24" s="116" t="s">
        <v>60</v>
      </c>
      <c r="K24" s="116" t="s">
        <v>61</v>
      </c>
      <c r="L24" s="117" t="s">
        <v>69</v>
      </c>
      <c r="M24" s="108" t="s">
        <v>26</v>
      </c>
      <c r="N24" s="118" t="s">
        <v>64</v>
      </c>
      <c r="O24" s="108" t="s">
        <v>26</v>
      </c>
      <c r="P24" s="118" t="s">
        <v>64</v>
      </c>
      <c r="Q24" s="108" t="s">
        <v>26</v>
      </c>
      <c r="R24" s="118" t="s">
        <v>64</v>
      </c>
    </row>
    <row r="25" spans="2:18" ht="14.4" customHeight="1" x14ac:dyDescent="0.35">
      <c r="B25" s="10" t="s">
        <v>90</v>
      </c>
      <c r="C25" s="87">
        <v>1</v>
      </c>
      <c r="E25" s="21" t="s">
        <v>102</v>
      </c>
      <c r="F25" s="158">
        <f t="shared" ref="F25:F33" si="9">F11</f>
        <v>3</v>
      </c>
      <c r="G25" s="159">
        <f t="shared" ref="G25:G33" ca="1" si="10">F25*OFFSET(K77,0,$C$19)</f>
        <v>3.9E-2</v>
      </c>
      <c r="H25" s="160">
        <f t="shared" ref="H25:I33" si="11">H11</f>
        <v>5.7791095890410961E-2</v>
      </c>
      <c r="I25" s="160">
        <f t="shared" si="11"/>
        <v>9.375E-2</v>
      </c>
      <c r="J25" s="160">
        <f t="shared" ref="J25:J33" si="12">IF($C$22&gt;1,$C$68*P77,0)</f>
        <v>0.140625</v>
      </c>
      <c r="K25" s="160">
        <f t="shared" ref="K25:K33" si="13">$I$89/730</f>
        <v>0.37499178082191786</v>
      </c>
      <c r="L25" s="161">
        <f t="shared" ref="L25:L33" si="14">($C$17*$C$18)/365/24</f>
        <v>34.246575342465754</v>
      </c>
      <c r="M25" s="160">
        <f t="shared" ref="M25:M33" ca="1" si="15">SUM(G25:K25)</f>
        <v>0.70615787671232888</v>
      </c>
      <c r="N25" s="161">
        <f t="shared" ref="N25:N33" ca="1" si="16">M25+L25</f>
        <v>34.952733219178086</v>
      </c>
      <c r="O25" s="162">
        <f t="shared" ref="O25:O33" ca="1" si="17">M25*730</f>
        <v>515.49525000000006</v>
      </c>
      <c r="P25" s="163">
        <f t="shared" ref="P25:P33" ca="1" si="18">N25*730</f>
        <v>25515.495250000004</v>
      </c>
      <c r="Q25" s="164">
        <f t="shared" ref="Q25:Q33" ca="1" si="19">(O25)/($C$10/1000*3600*730)</f>
        <v>0.19615496575342467</v>
      </c>
      <c r="R25" s="165">
        <f t="shared" ref="R25:R33" ca="1" si="20">(P25)/($C$10/1000*3600*730)</f>
        <v>9.7090925608828016</v>
      </c>
    </row>
    <row r="26" spans="2:18" ht="14.4" customHeight="1" x14ac:dyDescent="0.35">
      <c r="B26" s="10" t="s">
        <v>31</v>
      </c>
      <c r="C26" s="88">
        <v>0.6</v>
      </c>
      <c r="E26" s="21" t="s">
        <v>7</v>
      </c>
      <c r="F26" s="166">
        <f t="shared" si="9"/>
        <v>3</v>
      </c>
      <c r="G26" s="167">
        <f t="shared" ca="1" si="10"/>
        <v>0.18</v>
      </c>
      <c r="H26" s="41">
        <f t="shared" si="11"/>
        <v>5.7791095890410961E-2</v>
      </c>
      <c r="I26" s="41">
        <f t="shared" si="11"/>
        <v>9.375E-2</v>
      </c>
      <c r="J26" s="41">
        <f t="shared" si="12"/>
        <v>0.140625</v>
      </c>
      <c r="K26" s="41">
        <f t="shared" si="13"/>
        <v>0.37499178082191786</v>
      </c>
      <c r="L26" s="168">
        <f t="shared" si="14"/>
        <v>34.246575342465754</v>
      </c>
      <c r="M26" s="41">
        <f t="shared" ca="1" si="15"/>
        <v>0.84715787671232878</v>
      </c>
      <c r="N26" s="168">
        <f t="shared" ca="1" si="16"/>
        <v>35.093733219178084</v>
      </c>
      <c r="O26" s="169">
        <f t="shared" ca="1" si="17"/>
        <v>618.42525000000001</v>
      </c>
      <c r="P26" s="170">
        <f t="shared" ca="1" si="18"/>
        <v>25618.42525</v>
      </c>
      <c r="Q26" s="171">
        <f t="shared" ca="1" si="19"/>
        <v>0.23532163242009133</v>
      </c>
      <c r="R26" s="172">
        <f t="shared" ca="1" si="20"/>
        <v>9.7482592275494682</v>
      </c>
    </row>
    <row r="27" spans="2:18" ht="14.4" customHeight="1" x14ac:dyDescent="0.35">
      <c r="B27" s="6" t="s">
        <v>32</v>
      </c>
      <c r="C27" s="87">
        <v>90</v>
      </c>
      <c r="E27" s="21" t="s">
        <v>0</v>
      </c>
      <c r="F27" s="166">
        <f t="shared" si="9"/>
        <v>3</v>
      </c>
      <c r="G27" s="167">
        <f t="shared" ca="1" si="10"/>
        <v>0.36299999999999999</v>
      </c>
      <c r="H27" s="41">
        <f t="shared" si="11"/>
        <v>5.7791095890410961E-2</v>
      </c>
      <c r="I27" s="41">
        <f t="shared" si="11"/>
        <v>9.375E-2</v>
      </c>
      <c r="J27" s="41">
        <f t="shared" si="12"/>
        <v>0.140625</v>
      </c>
      <c r="K27" s="41">
        <f t="shared" si="13"/>
        <v>0.37499178082191786</v>
      </c>
      <c r="L27" s="168">
        <f t="shared" si="14"/>
        <v>34.246575342465754</v>
      </c>
      <c r="M27" s="41">
        <f t="shared" ca="1" si="15"/>
        <v>1.0301578767123289</v>
      </c>
      <c r="N27" s="168">
        <f t="shared" ca="1" si="16"/>
        <v>35.276733219178084</v>
      </c>
      <c r="O27" s="169">
        <f t="shared" ca="1" si="17"/>
        <v>752.01525000000015</v>
      </c>
      <c r="P27" s="170">
        <f t="shared" ca="1" si="18"/>
        <v>25752.01525</v>
      </c>
      <c r="Q27" s="171">
        <f t="shared" ca="1" si="19"/>
        <v>0.28615496575342469</v>
      </c>
      <c r="R27" s="172">
        <f t="shared" ca="1" si="20"/>
        <v>9.7990925608828015</v>
      </c>
    </row>
    <row r="28" spans="2:18" x14ac:dyDescent="0.35">
      <c r="E28" s="21" t="s">
        <v>2</v>
      </c>
      <c r="F28" s="166">
        <f t="shared" si="9"/>
        <v>3</v>
      </c>
      <c r="G28" s="167">
        <f t="shared" ca="1" si="10"/>
        <v>0.72599999999999998</v>
      </c>
      <c r="H28" s="41">
        <f t="shared" si="11"/>
        <v>5.7791095890410961E-2</v>
      </c>
      <c r="I28" s="41">
        <f t="shared" si="11"/>
        <v>9.375E-2</v>
      </c>
      <c r="J28" s="41">
        <f t="shared" si="12"/>
        <v>0.140625</v>
      </c>
      <c r="K28" s="41">
        <f t="shared" si="13"/>
        <v>0.37499178082191786</v>
      </c>
      <c r="L28" s="168">
        <f t="shared" si="14"/>
        <v>34.246575342465754</v>
      </c>
      <c r="M28" s="41">
        <f t="shared" ca="1" si="15"/>
        <v>1.3931578767123289</v>
      </c>
      <c r="N28" s="168">
        <f t="shared" ca="1" si="16"/>
        <v>35.639733219178083</v>
      </c>
      <c r="O28" s="169">
        <f t="shared" ca="1" si="17"/>
        <v>1017.0052500000002</v>
      </c>
      <c r="P28" s="170">
        <f t="shared" ca="1" si="18"/>
        <v>26017.005250000002</v>
      </c>
      <c r="Q28" s="171">
        <f t="shared" ca="1" si="19"/>
        <v>0.38698829908675803</v>
      </c>
      <c r="R28" s="172">
        <f t="shared" ca="1" si="20"/>
        <v>9.8999258942161354</v>
      </c>
    </row>
    <row r="29" spans="2:18" x14ac:dyDescent="0.35">
      <c r="B29" s="214" t="s">
        <v>122</v>
      </c>
      <c r="C29" s="214"/>
      <c r="E29" s="21" t="s">
        <v>3</v>
      </c>
      <c r="F29" s="166">
        <f t="shared" si="9"/>
        <v>3</v>
      </c>
      <c r="G29" s="167">
        <f t="shared" ca="1" si="10"/>
        <v>1.452</v>
      </c>
      <c r="H29" s="41">
        <f t="shared" si="11"/>
        <v>5.7791095890410961E-2</v>
      </c>
      <c r="I29" s="41">
        <f t="shared" si="11"/>
        <v>9.375E-2</v>
      </c>
      <c r="J29" s="41">
        <f t="shared" si="12"/>
        <v>0.140625</v>
      </c>
      <c r="K29" s="41">
        <f t="shared" si="13"/>
        <v>0.37499178082191786</v>
      </c>
      <c r="L29" s="168">
        <f t="shared" si="14"/>
        <v>34.246575342465754</v>
      </c>
      <c r="M29" s="41">
        <f t="shared" ca="1" si="15"/>
        <v>2.1191578767123289</v>
      </c>
      <c r="N29" s="168">
        <f t="shared" ca="1" si="16"/>
        <v>36.365733219178082</v>
      </c>
      <c r="O29" s="169">
        <f t="shared" ca="1" si="17"/>
        <v>1546.9852500000002</v>
      </c>
      <c r="P29" s="170">
        <f t="shared" ca="1" si="18"/>
        <v>26546.985250000002</v>
      </c>
      <c r="Q29" s="171">
        <f t="shared" ca="1" si="19"/>
        <v>0.58865496575342469</v>
      </c>
      <c r="R29" s="172">
        <f t="shared" ca="1" si="20"/>
        <v>10.101592560882802</v>
      </c>
    </row>
    <row r="30" spans="2:18" x14ac:dyDescent="0.35">
      <c r="B30" s="215"/>
      <c r="C30" s="215"/>
      <c r="E30" s="21" t="s">
        <v>106</v>
      </c>
      <c r="F30" s="166">
        <f t="shared" si="9"/>
        <v>3</v>
      </c>
      <c r="G30" s="167">
        <f t="shared" ca="1" si="10"/>
        <v>2.9039999999999999</v>
      </c>
      <c r="H30" s="41">
        <f t="shared" si="11"/>
        <v>5.7791095890410961E-2</v>
      </c>
      <c r="I30" s="41">
        <f t="shared" si="11"/>
        <v>9.375E-2</v>
      </c>
      <c r="J30" s="41">
        <f t="shared" si="12"/>
        <v>0.140625</v>
      </c>
      <c r="K30" s="41">
        <f t="shared" si="13"/>
        <v>0.37499178082191786</v>
      </c>
      <c r="L30" s="168">
        <f t="shared" si="14"/>
        <v>34.246575342465754</v>
      </c>
      <c r="M30" s="41">
        <f t="shared" ca="1" si="15"/>
        <v>3.5711578767123289</v>
      </c>
      <c r="N30" s="168">
        <f t="shared" ca="1" si="16"/>
        <v>37.817733219178081</v>
      </c>
      <c r="O30" s="169">
        <f t="shared" ca="1" si="17"/>
        <v>2606.9452500000002</v>
      </c>
      <c r="P30" s="170">
        <f t="shared" ca="1" si="18"/>
        <v>27606.945249999997</v>
      </c>
      <c r="Q30" s="171">
        <f t="shared" ca="1" si="19"/>
        <v>0.99198829908675812</v>
      </c>
      <c r="R30" s="172">
        <f t="shared" ca="1" si="20"/>
        <v>10.504925894216132</v>
      </c>
    </row>
    <row r="31" spans="2:18" x14ac:dyDescent="0.35">
      <c r="B31" s="85"/>
      <c r="C31" s="85"/>
      <c r="E31" s="21" t="s">
        <v>4</v>
      </c>
      <c r="F31" s="166">
        <f t="shared" si="9"/>
        <v>3</v>
      </c>
      <c r="G31" s="167">
        <f t="shared" ca="1" si="10"/>
        <v>4.3559999999999999</v>
      </c>
      <c r="H31" s="41">
        <f t="shared" si="11"/>
        <v>5.7791095890410961E-2</v>
      </c>
      <c r="I31" s="41">
        <f t="shared" si="11"/>
        <v>9.375E-2</v>
      </c>
      <c r="J31" s="41">
        <f t="shared" si="12"/>
        <v>0.140625</v>
      </c>
      <c r="K31" s="41">
        <f t="shared" si="13"/>
        <v>0.37499178082191786</v>
      </c>
      <c r="L31" s="168">
        <f t="shared" si="14"/>
        <v>34.246575342465754</v>
      </c>
      <c r="M31" s="41">
        <f t="shared" ca="1" si="15"/>
        <v>5.0231578767123288</v>
      </c>
      <c r="N31" s="168">
        <f t="shared" ca="1" si="16"/>
        <v>39.269733219178079</v>
      </c>
      <c r="O31" s="169">
        <f t="shared" ca="1" si="17"/>
        <v>3666.9052500000003</v>
      </c>
      <c r="P31" s="170">
        <f t="shared" ca="1" si="18"/>
        <v>28666.905249999996</v>
      </c>
      <c r="Q31" s="171">
        <f t="shared" ca="1" si="19"/>
        <v>1.3953216324200914</v>
      </c>
      <c r="R31" s="172">
        <f t="shared" ca="1" si="20"/>
        <v>10.908259227549467</v>
      </c>
    </row>
    <row r="32" spans="2:18" x14ac:dyDescent="0.35">
      <c r="B32" s="85"/>
      <c r="C32" s="85"/>
      <c r="E32" s="21" t="s">
        <v>107</v>
      </c>
      <c r="F32" s="166">
        <f t="shared" si="9"/>
        <v>3</v>
      </c>
      <c r="G32" s="167">
        <f t="shared" ca="1" si="10"/>
        <v>5.8049999999999997</v>
      </c>
      <c r="H32" s="41">
        <f t="shared" si="11"/>
        <v>5.7791095890410961E-2</v>
      </c>
      <c r="I32" s="41">
        <f t="shared" si="11"/>
        <v>9.375E-2</v>
      </c>
      <c r="J32" s="41">
        <f t="shared" si="12"/>
        <v>0.140625</v>
      </c>
      <c r="K32" s="41">
        <f t="shared" si="13"/>
        <v>0.37499178082191786</v>
      </c>
      <c r="L32" s="168">
        <f t="shared" si="14"/>
        <v>34.246575342465754</v>
      </c>
      <c r="M32" s="41">
        <f t="shared" ca="1" si="15"/>
        <v>6.4721578767123287</v>
      </c>
      <c r="N32" s="168">
        <f t="shared" ca="1" si="16"/>
        <v>40.718733219178084</v>
      </c>
      <c r="O32" s="169">
        <f t="shared" ca="1" si="17"/>
        <v>4724.6752500000002</v>
      </c>
      <c r="P32" s="170">
        <f t="shared" ca="1" si="18"/>
        <v>29724.67525</v>
      </c>
      <c r="Q32" s="171">
        <f t="shared" ca="1" si="19"/>
        <v>1.7978216324200915</v>
      </c>
      <c r="R32" s="172">
        <f t="shared" ca="1" si="20"/>
        <v>11.310759227549468</v>
      </c>
    </row>
    <row r="33" spans="2:18" x14ac:dyDescent="0.35">
      <c r="B33" s="85"/>
      <c r="C33" s="85"/>
      <c r="E33" s="173" t="s">
        <v>5</v>
      </c>
      <c r="F33" s="174">
        <f t="shared" si="9"/>
        <v>3</v>
      </c>
      <c r="G33" s="175">
        <f t="shared" ca="1" si="10"/>
        <v>8.7089999999999996</v>
      </c>
      <c r="H33" s="176">
        <f t="shared" si="11"/>
        <v>5.7791095890410961E-2</v>
      </c>
      <c r="I33" s="176">
        <f t="shared" si="11"/>
        <v>9.375E-2</v>
      </c>
      <c r="J33" s="176">
        <f t="shared" si="12"/>
        <v>0.140625</v>
      </c>
      <c r="K33" s="176">
        <f t="shared" si="13"/>
        <v>0.37499178082191786</v>
      </c>
      <c r="L33" s="177">
        <f t="shared" si="14"/>
        <v>34.246575342465754</v>
      </c>
      <c r="M33" s="176">
        <f t="shared" ca="1" si="15"/>
        <v>9.3761578767123268</v>
      </c>
      <c r="N33" s="177">
        <f t="shared" ca="1" si="16"/>
        <v>43.62273321917808</v>
      </c>
      <c r="O33" s="178">
        <f t="shared" ca="1" si="17"/>
        <v>6844.5952499999985</v>
      </c>
      <c r="P33" s="179">
        <f t="shared" ca="1" si="18"/>
        <v>31844.595249999998</v>
      </c>
      <c r="Q33" s="180">
        <f t="shared" ca="1" si="19"/>
        <v>2.6044882990867575</v>
      </c>
      <c r="R33" s="181">
        <f t="shared" ca="1" si="20"/>
        <v>12.117425894216133</v>
      </c>
    </row>
    <row r="34" spans="2:18" x14ac:dyDescent="0.35">
      <c r="B34" s="85"/>
      <c r="C34" s="85"/>
      <c r="G34" s="98" t="s">
        <v>86</v>
      </c>
      <c r="H34" s="98"/>
      <c r="I34" s="45" t="s">
        <v>45</v>
      </c>
    </row>
    <row r="35" spans="2:18" x14ac:dyDescent="0.35">
      <c r="B35" s="85"/>
      <c r="C35" s="85"/>
    </row>
    <row r="36" spans="2:18" x14ac:dyDescent="0.35">
      <c r="B36" s="80"/>
      <c r="G36" s="42"/>
      <c r="H36" s="42"/>
      <c r="I36" s="42"/>
      <c r="J36" s="41"/>
      <c r="K36" s="42"/>
      <c r="L36" s="42"/>
      <c r="M36" s="42"/>
      <c r="N36" s="42"/>
      <c r="O36" s="67"/>
      <c r="P36" s="67"/>
      <c r="Q36" s="68"/>
      <c r="R36" s="68"/>
    </row>
    <row r="37" spans="2:18" s="76" customFormat="1" x14ac:dyDescent="0.35">
      <c r="B37" s="77" t="s">
        <v>73</v>
      </c>
      <c r="E37" s="78"/>
    </row>
    <row r="38" spans="2:18" x14ac:dyDescent="0.35">
      <c r="B38" s="10"/>
      <c r="E38" s="23"/>
    </row>
    <row r="39" spans="2:18" x14ac:dyDescent="0.35">
      <c r="B39" s="10" t="s">
        <v>78</v>
      </c>
      <c r="C39" s="87" t="s">
        <v>7</v>
      </c>
      <c r="D39" s="75" t="s">
        <v>92</v>
      </c>
      <c r="E39" s="23"/>
    </row>
    <row r="40" spans="2:18" x14ac:dyDescent="0.35">
      <c r="B40" s="10" t="s">
        <v>74</v>
      </c>
      <c r="C40" s="65">
        <f>VLOOKUP($C$39,$E$11:$N$19,2,FALSE)</f>
        <v>3</v>
      </c>
      <c r="D40" s="75" t="s">
        <v>99</v>
      </c>
      <c r="E40" s="23"/>
    </row>
    <row r="41" spans="2:18" x14ac:dyDescent="0.35">
      <c r="B41" s="10" t="s">
        <v>130</v>
      </c>
      <c r="C41" s="195">
        <f>C54/C40*1024</f>
        <v>140.625</v>
      </c>
      <c r="D41" s="75"/>
      <c r="E41" s="23"/>
    </row>
    <row r="42" spans="2:18" x14ac:dyDescent="0.35">
      <c r="B42" s="10"/>
      <c r="E42" s="23"/>
    </row>
    <row r="43" spans="2:18" x14ac:dyDescent="0.35">
      <c r="B43" s="120" t="s">
        <v>80</v>
      </c>
      <c r="C43" s="121" t="s">
        <v>59</v>
      </c>
      <c r="D43" s="121" t="s">
        <v>63</v>
      </c>
      <c r="E43" s="121" t="s">
        <v>79</v>
      </c>
    </row>
    <row r="44" spans="2:18" x14ac:dyDescent="0.35">
      <c r="B44" s="10" t="s">
        <v>75</v>
      </c>
      <c r="C44" s="63">
        <f>VLOOKUP($C$39,$E$11:$N$19,9,FALSE)</f>
        <v>570.52500000000009</v>
      </c>
      <c r="D44" s="64">
        <f>VLOOKUP($C$39,$E$11:$N$19,10,FALSE)</f>
        <v>0.21709474885844751</v>
      </c>
      <c r="E44" s="66" t="s">
        <v>76</v>
      </c>
      <c r="F44" s="82"/>
    </row>
    <row r="45" spans="2:18" x14ac:dyDescent="0.35">
      <c r="B45" s="62" t="s">
        <v>105</v>
      </c>
      <c r="C45" s="63">
        <f ca="1">VLOOKUP($C$39,$E$25:$R$33,11,FALSE)</f>
        <v>618.42525000000001</v>
      </c>
      <c r="D45" s="64">
        <f ca="1">VLOOKUP($C$39,$E$25:$R$33,13,FALSE)</f>
        <v>0.23532163242009133</v>
      </c>
      <c r="E45" s="66">
        <f ca="1">D45/D44-1</f>
        <v>8.3958196398054241E-2</v>
      </c>
      <c r="F45" s="82"/>
    </row>
    <row r="46" spans="2:18" x14ac:dyDescent="0.35">
      <c r="B46" s="69" t="s">
        <v>77</v>
      </c>
      <c r="C46" s="70">
        <f ca="1">VLOOKUP($C$39,$E$25:$R$33,12,FALSE)</f>
        <v>25618.42525</v>
      </c>
      <c r="D46" s="71">
        <f ca="1">VLOOKUP($C$39,$E$25:$R$33,14,FALSE)</f>
        <v>9.7482592275494682</v>
      </c>
      <c r="E46" s="72">
        <f ca="1">D46/D44-1</f>
        <v>43.903247447526404</v>
      </c>
    </row>
    <row r="47" spans="2:18" x14ac:dyDescent="0.35">
      <c r="B47" s="75"/>
      <c r="C47" s="73"/>
      <c r="D47" s="74"/>
      <c r="E47" s="66"/>
    </row>
    <row r="48" spans="2:18" x14ac:dyDescent="0.35">
      <c r="E48" s="23"/>
    </row>
    <row r="49" spans="1:6" s="106" customFormat="1" x14ac:dyDescent="0.35">
      <c r="A49" s="104"/>
      <c r="B49" s="105" t="s">
        <v>39</v>
      </c>
      <c r="C49" s="104"/>
      <c r="D49" s="104"/>
      <c r="E49" s="104"/>
    </row>
    <row r="50" spans="1:6" s="59" customFormat="1" x14ac:dyDescent="0.35">
      <c r="B50" s="60" t="s">
        <v>65</v>
      </c>
      <c r="D50" s="61"/>
    </row>
    <row r="51" spans="1:6" x14ac:dyDescent="0.35">
      <c r="B51" s="6" t="s">
        <v>72</v>
      </c>
      <c r="C51" s="5">
        <f>(C12*C24)</f>
        <v>0.2</v>
      </c>
      <c r="D51" s="1"/>
    </row>
    <row r="52" spans="1:6" x14ac:dyDescent="0.35">
      <c r="B52" s="6" t="s">
        <v>19</v>
      </c>
      <c r="C52" s="5">
        <f>C10*C11+C51</f>
        <v>3.2</v>
      </c>
      <c r="D52" s="96"/>
    </row>
    <row r="53" spans="1:6" x14ac:dyDescent="0.35">
      <c r="B53" s="6" t="s">
        <v>33</v>
      </c>
      <c r="C53" s="5">
        <f>C10*C11/1024/1024*3600*C13</f>
        <v>0.2471923828125</v>
      </c>
      <c r="D53" s="4"/>
    </row>
    <row r="54" spans="1:6" x14ac:dyDescent="0.35">
      <c r="B54" s="6" t="s">
        <v>28</v>
      </c>
      <c r="C54" s="5">
        <f>C53/C26</f>
        <v>0.4119873046875</v>
      </c>
      <c r="D54" s="97"/>
      <c r="E54" s="2"/>
      <c r="F54" s="26"/>
    </row>
    <row r="55" spans="1:6" x14ac:dyDescent="0.35">
      <c r="B55" s="93" t="s">
        <v>101</v>
      </c>
      <c r="C55" s="92">
        <f>C52*1024/256</f>
        <v>12.8</v>
      </c>
      <c r="D55" s="26"/>
      <c r="E55" s="26"/>
      <c r="F55" s="26"/>
    </row>
    <row r="56" spans="1:6" x14ac:dyDescent="0.35">
      <c r="B56" s="8"/>
      <c r="F56" s="26"/>
    </row>
    <row r="57" spans="1:6" x14ac:dyDescent="0.35">
      <c r="B57" s="9" t="s">
        <v>35</v>
      </c>
    </row>
    <row r="58" spans="1:6" x14ac:dyDescent="0.35">
      <c r="B58" s="6" t="s">
        <v>21</v>
      </c>
      <c r="C58" s="5">
        <f>(C11-1)*C10+C12</f>
        <v>3</v>
      </c>
    </row>
    <row r="59" spans="1:6" x14ac:dyDescent="0.35">
      <c r="B59" s="6" t="s">
        <v>20</v>
      </c>
      <c r="C59" s="5">
        <f>C10*C11</f>
        <v>3</v>
      </c>
    </row>
    <row r="60" spans="1:6" x14ac:dyDescent="0.35">
      <c r="B60" s="6" t="s">
        <v>17</v>
      </c>
      <c r="C60" s="5">
        <f>SUM(C58:C59)</f>
        <v>6</v>
      </c>
    </row>
    <row r="61" spans="1:6" x14ac:dyDescent="0.35">
      <c r="B61" s="6" t="s">
        <v>29</v>
      </c>
      <c r="C61" s="5">
        <f>C60+C51</f>
        <v>6.2</v>
      </c>
    </row>
    <row r="62" spans="1:6" x14ac:dyDescent="0.35">
      <c r="B62" s="8"/>
    </row>
    <row r="63" spans="1:6" x14ac:dyDescent="0.35">
      <c r="B63" s="7" t="s">
        <v>34</v>
      </c>
    </row>
    <row r="64" spans="1:6" x14ac:dyDescent="0.35">
      <c r="B64" s="6" t="s">
        <v>55</v>
      </c>
      <c r="C64" s="5">
        <f>C10*(C22-1)/C22</f>
        <v>0.66666666666666663</v>
      </c>
    </row>
    <row r="65" spans="1:30" x14ac:dyDescent="0.35">
      <c r="B65" s="6" t="s">
        <v>54</v>
      </c>
      <c r="C65" s="5">
        <f>IF(C23,0,C12*(C22-1)/C22)</f>
        <v>0.66666666666666663</v>
      </c>
    </row>
    <row r="66" spans="1:30" x14ac:dyDescent="0.35">
      <c r="B66" s="6" t="s">
        <v>51</v>
      </c>
      <c r="C66" s="5">
        <f>SUM(C64:C65)/1024*3600</f>
        <v>4.6875</v>
      </c>
      <c r="D66" s="26"/>
    </row>
    <row r="67" spans="1:30" x14ac:dyDescent="0.35">
      <c r="B67" s="6" t="s">
        <v>53</v>
      </c>
      <c r="C67" s="5">
        <f>IF(C11&lt;=C22,C10*(C11-1),C10*(C11-1)*(1-1/C22))</f>
        <v>2</v>
      </c>
      <c r="D67" s="26"/>
    </row>
    <row r="68" spans="1:30" x14ac:dyDescent="0.35">
      <c r="B68" s="6" t="s">
        <v>52</v>
      </c>
      <c r="C68" s="5">
        <f>C67*3600/1024</f>
        <v>7.03125</v>
      </c>
      <c r="D68" s="26"/>
      <c r="X68" s="36"/>
      <c r="AA68" s="36"/>
      <c r="AD68" s="38"/>
    </row>
    <row r="69" spans="1:30" x14ac:dyDescent="0.35">
      <c r="B69" s="8"/>
      <c r="W69" s="83"/>
      <c r="X69" s="37"/>
      <c r="Z69" s="83"/>
      <c r="AA69" s="37"/>
      <c r="AC69" s="83"/>
      <c r="AD69" s="39"/>
    </row>
    <row r="70" spans="1:30" x14ac:dyDescent="0.35">
      <c r="B70" s="9" t="s">
        <v>36</v>
      </c>
      <c r="G70" t="s">
        <v>87</v>
      </c>
      <c r="W70" s="83"/>
      <c r="X70" s="37"/>
      <c r="Z70" s="83"/>
      <c r="AA70" s="37"/>
      <c r="AC70" s="83"/>
      <c r="AD70" s="39"/>
    </row>
    <row r="71" spans="1:30" x14ac:dyDescent="0.35">
      <c r="B71" s="6" t="s">
        <v>38</v>
      </c>
      <c r="C71" s="5">
        <f>C27*C10/1024</f>
        <v>8.7890625E-2</v>
      </c>
      <c r="W71" s="83"/>
      <c r="X71" s="37"/>
      <c r="Z71" s="83"/>
      <c r="AA71" s="37"/>
      <c r="AC71" s="83"/>
      <c r="AD71" s="39"/>
    </row>
    <row r="72" spans="1:30" x14ac:dyDescent="0.35">
      <c r="B72" s="6"/>
      <c r="I72" s="45"/>
      <c r="W72" s="83"/>
      <c r="X72" s="37"/>
      <c r="Z72" s="83"/>
      <c r="AA72" s="37"/>
      <c r="AC72" s="83"/>
      <c r="AD72" s="39"/>
    </row>
    <row r="73" spans="1:30" x14ac:dyDescent="0.35">
      <c r="A73" s="13"/>
      <c r="B73" s="20"/>
      <c r="C73" s="13"/>
      <c r="D73" s="13"/>
      <c r="E73" s="13"/>
      <c r="F73" s="13"/>
      <c r="G73" s="13"/>
      <c r="H73" s="13"/>
      <c r="I73" s="13"/>
      <c r="J73" s="13"/>
      <c r="K73" s="13"/>
      <c r="L73" s="13"/>
      <c r="M73" s="13"/>
      <c r="N73" s="13"/>
      <c r="O73" s="13"/>
      <c r="P73" s="13"/>
      <c r="W73" s="83"/>
      <c r="X73" s="37"/>
      <c r="Z73" s="83"/>
      <c r="AA73" s="37"/>
      <c r="AC73" s="83"/>
      <c r="AD73" s="39"/>
    </row>
    <row r="74" spans="1:30" x14ac:dyDescent="0.35">
      <c r="A74" s="13"/>
      <c r="B74" s="31" t="s">
        <v>43</v>
      </c>
      <c r="C74" s="13"/>
      <c r="D74" s="13"/>
      <c r="E74" s="13"/>
      <c r="F74" s="13"/>
      <c r="G74" s="13"/>
      <c r="H74" s="13"/>
      <c r="I74" s="13"/>
      <c r="J74" s="13"/>
      <c r="K74" s="13"/>
      <c r="L74" s="13"/>
    </row>
    <row r="75" spans="1:30" ht="14.4" customHeight="1" x14ac:dyDescent="0.35">
      <c r="B75" s="130"/>
      <c r="C75" s="211" t="s">
        <v>10</v>
      </c>
      <c r="D75" s="212"/>
      <c r="E75" s="211" t="s">
        <v>11</v>
      </c>
      <c r="F75" s="212"/>
      <c r="G75" s="211" t="s">
        <v>41</v>
      </c>
      <c r="H75" s="213"/>
      <c r="I75" s="212"/>
      <c r="J75" s="99" t="s">
        <v>112</v>
      </c>
      <c r="K75" s="213" t="s">
        <v>108</v>
      </c>
      <c r="L75" s="213"/>
      <c r="M75" s="213"/>
      <c r="N75" s="212"/>
      <c r="O75" s="131" t="s">
        <v>13</v>
      </c>
      <c r="P75" s="132" t="s">
        <v>58</v>
      </c>
    </row>
    <row r="76" spans="1:30" x14ac:dyDescent="0.35">
      <c r="B76" s="129" t="s">
        <v>27</v>
      </c>
      <c r="C76" s="133" t="s">
        <v>1</v>
      </c>
      <c r="D76" s="134" t="s">
        <v>6</v>
      </c>
      <c r="E76" s="133" t="s">
        <v>93</v>
      </c>
      <c r="F76" s="134" t="s">
        <v>94</v>
      </c>
      <c r="G76" s="133" t="s">
        <v>42</v>
      </c>
      <c r="H76" s="125" t="s">
        <v>9</v>
      </c>
      <c r="I76" s="134" t="s">
        <v>12</v>
      </c>
      <c r="J76" s="129" t="s">
        <v>14</v>
      </c>
      <c r="K76" s="125" t="s">
        <v>109</v>
      </c>
      <c r="L76" s="125" t="s">
        <v>110</v>
      </c>
      <c r="M76" s="125" t="s">
        <v>88</v>
      </c>
      <c r="N76" s="134" t="s">
        <v>111</v>
      </c>
      <c r="O76" s="125" t="s">
        <v>113</v>
      </c>
      <c r="P76" s="129" t="s">
        <v>63</v>
      </c>
    </row>
    <row r="77" spans="1:30" x14ac:dyDescent="0.35">
      <c r="B77" s="128" t="s">
        <v>102</v>
      </c>
      <c r="C77" s="135">
        <v>174</v>
      </c>
      <c r="D77" s="136">
        <v>16</v>
      </c>
      <c r="E77" s="137">
        <v>0.13</v>
      </c>
      <c r="F77" s="138">
        <f t="shared" ref="F77:F85" si="21">E77/8*1024</f>
        <v>16.64</v>
      </c>
      <c r="G77" s="137">
        <v>0.7</v>
      </c>
      <c r="H77" s="124">
        <v>2</v>
      </c>
      <c r="I77" s="139">
        <v>2</v>
      </c>
      <c r="J77" s="154">
        <v>4.5600000000000002E-2</v>
      </c>
      <c r="K77" s="155">
        <v>2.0799999999999999E-2</v>
      </c>
      <c r="L77" s="155">
        <v>1.2999999999999999E-2</v>
      </c>
      <c r="M77" s="156"/>
      <c r="N77" s="157">
        <v>8.9999999999999993E-3</v>
      </c>
      <c r="O77" s="141">
        <v>0.1</v>
      </c>
      <c r="P77" s="140">
        <v>0.02</v>
      </c>
    </row>
    <row r="78" spans="1:30" x14ac:dyDescent="0.35">
      <c r="B78" s="128" t="s">
        <v>7</v>
      </c>
      <c r="C78" s="135">
        <v>650</v>
      </c>
      <c r="D78" s="136">
        <f>MIN(C78/8,250)</f>
        <v>81.25</v>
      </c>
      <c r="E78" s="137">
        <v>0.75</v>
      </c>
      <c r="F78" s="126">
        <f t="shared" si="21"/>
        <v>96</v>
      </c>
      <c r="G78" s="137">
        <v>4</v>
      </c>
      <c r="H78" s="124">
        <v>8</v>
      </c>
      <c r="I78" s="139">
        <v>2</v>
      </c>
      <c r="J78" s="140">
        <v>0.21</v>
      </c>
      <c r="K78" s="141">
        <v>9.6000000000000002E-2</v>
      </c>
      <c r="L78" s="142">
        <v>0.06</v>
      </c>
      <c r="M78" s="123"/>
      <c r="N78" s="143">
        <v>4.1000000000000002E-2</v>
      </c>
      <c r="O78" s="141">
        <v>0.1</v>
      </c>
      <c r="P78" s="140">
        <v>0.02</v>
      </c>
    </row>
    <row r="79" spans="1:30" x14ac:dyDescent="0.35">
      <c r="B79" s="128" t="s">
        <v>0</v>
      </c>
      <c r="C79" s="135">
        <v>1150</v>
      </c>
      <c r="D79" s="136">
        <f t="shared" ref="D79:D85" si="22">MIN(C79/8,250)</f>
        <v>143.75</v>
      </c>
      <c r="E79" s="137">
        <v>1.25</v>
      </c>
      <c r="F79" s="126">
        <f t="shared" si="21"/>
        <v>160</v>
      </c>
      <c r="G79" s="137">
        <v>8</v>
      </c>
      <c r="H79" s="124">
        <v>16</v>
      </c>
      <c r="I79" s="139">
        <v>4</v>
      </c>
      <c r="J79" s="140">
        <v>0.42</v>
      </c>
      <c r="K79" s="141">
        <v>0.192</v>
      </c>
      <c r="L79" s="142">
        <v>0.121</v>
      </c>
      <c r="M79" s="123"/>
      <c r="N79" s="143">
        <v>8.3000000000000004E-2</v>
      </c>
      <c r="O79" s="141">
        <v>0.1</v>
      </c>
      <c r="P79" s="140">
        <v>0.02</v>
      </c>
    </row>
    <row r="80" spans="1:30" x14ac:dyDescent="0.35">
      <c r="B80" s="128" t="s">
        <v>2</v>
      </c>
      <c r="C80" s="135">
        <v>2300</v>
      </c>
      <c r="D80" s="139">
        <f t="shared" si="22"/>
        <v>250</v>
      </c>
      <c r="E80" s="137">
        <v>2.5</v>
      </c>
      <c r="F80" s="126">
        <f t="shared" si="21"/>
        <v>320</v>
      </c>
      <c r="G80" s="137">
        <v>16</v>
      </c>
      <c r="H80" s="124">
        <v>32</v>
      </c>
      <c r="I80" s="139">
        <v>8</v>
      </c>
      <c r="J80" s="140">
        <v>0.84</v>
      </c>
      <c r="K80" s="141">
        <v>0.38400000000000001</v>
      </c>
      <c r="L80" s="142">
        <v>0.24199999999999999</v>
      </c>
      <c r="M80" s="123"/>
      <c r="N80" s="143">
        <v>0.16600000000000001</v>
      </c>
      <c r="O80" s="141">
        <v>0.1</v>
      </c>
      <c r="P80" s="140">
        <v>0.02</v>
      </c>
    </row>
    <row r="81" spans="2:29" x14ac:dyDescent="0.35">
      <c r="B81" s="128" t="s">
        <v>3</v>
      </c>
      <c r="C81" s="135">
        <v>4750</v>
      </c>
      <c r="D81" s="139">
        <f t="shared" si="22"/>
        <v>250</v>
      </c>
      <c r="E81" s="137">
        <v>5</v>
      </c>
      <c r="F81" s="126">
        <f t="shared" si="21"/>
        <v>640</v>
      </c>
      <c r="G81" s="137">
        <v>32</v>
      </c>
      <c r="H81" s="124">
        <v>64</v>
      </c>
      <c r="I81" s="139">
        <v>16</v>
      </c>
      <c r="J81" s="140">
        <v>1.68</v>
      </c>
      <c r="K81" s="141">
        <v>0.76800000000000002</v>
      </c>
      <c r="L81" s="142">
        <v>0.48399999999999999</v>
      </c>
      <c r="M81" s="123"/>
      <c r="N81" s="143">
        <v>0.33200000000000002</v>
      </c>
      <c r="O81" s="141">
        <v>0.1</v>
      </c>
      <c r="P81" s="140">
        <v>0.02</v>
      </c>
    </row>
    <row r="82" spans="2:29" x14ac:dyDescent="0.35">
      <c r="B82" s="128" t="s">
        <v>106</v>
      </c>
      <c r="C82" s="135">
        <v>6800</v>
      </c>
      <c r="D82" s="139">
        <f t="shared" si="22"/>
        <v>250</v>
      </c>
      <c r="E82" s="137">
        <v>10</v>
      </c>
      <c r="F82" s="126">
        <f t="shared" si="21"/>
        <v>1280</v>
      </c>
      <c r="G82" s="153">
        <v>64</v>
      </c>
      <c r="H82" s="124">
        <v>128</v>
      </c>
      <c r="I82" s="139">
        <v>32</v>
      </c>
      <c r="J82" s="140">
        <v>3.36</v>
      </c>
      <c r="K82" s="141">
        <v>1.536</v>
      </c>
      <c r="L82" s="142">
        <v>0.96799999999999997</v>
      </c>
      <c r="M82" s="124"/>
      <c r="N82" s="143">
        <v>0.66400000000000003</v>
      </c>
      <c r="O82" s="141">
        <v>0.1</v>
      </c>
      <c r="P82" s="140">
        <v>0.02</v>
      </c>
    </row>
    <row r="83" spans="2:29" x14ac:dyDescent="0.35">
      <c r="B83" s="128" t="s">
        <v>4</v>
      </c>
      <c r="C83" s="135">
        <v>9500</v>
      </c>
      <c r="D83" s="139">
        <f t="shared" si="22"/>
        <v>250</v>
      </c>
      <c r="E83" s="137">
        <v>10</v>
      </c>
      <c r="F83" s="126">
        <f t="shared" si="21"/>
        <v>1280</v>
      </c>
      <c r="G83" s="137">
        <v>96</v>
      </c>
      <c r="H83" s="124">
        <v>192</v>
      </c>
      <c r="I83" s="139">
        <v>48</v>
      </c>
      <c r="J83" s="140">
        <v>5.04</v>
      </c>
      <c r="K83" s="141">
        <v>2.3039999999999998</v>
      </c>
      <c r="L83" s="142">
        <v>1.452</v>
      </c>
      <c r="M83" s="123"/>
      <c r="N83" s="143">
        <v>0.995</v>
      </c>
      <c r="O83" s="141">
        <v>0.1</v>
      </c>
      <c r="P83" s="140">
        <v>0.02</v>
      </c>
    </row>
    <row r="84" spans="2:29" x14ac:dyDescent="0.35">
      <c r="B84" s="128" t="s">
        <v>107</v>
      </c>
      <c r="C84" s="135">
        <v>13600</v>
      </c>
      <c r="D84" s="139">
        <f t="shared" si="22"/>
        <v>250</v>
      </c>
      <c r="E84" s="137">
        <v>20</v>
      </c>
      <c r="F84" s="126">
        <f t="shared" si="21"/>
        <v>2560</v>
      </c>
      <c r="G84" s="153">
        <v>128</v>
      </c>
      <c r="H84" s="124">
        <v>256</v>
      </c>
      <c r="I84" s="139">
        <v>64</v>
      </c>
      <c r="J84" s="140">
        <v>6.72</v>
      </c>
      <c r="K84" s="141">
        <v>3.0720000000000001</v>
      </c>
      <c r="L84" s="142">
        <v>1.9350000000000001</v>
      </c>
      <c r="M84" s="124"/>
      <c r="N84" s="143">
        <v>1.327</v>
      </c>
      <c r="O84" s="141">
        <v>0.1</v>
      </c>
      <c r="P84" s="140">
        <v>0.02</v>
      </c>
      <c r="W84" s="28"/>
      <c r="X84" s="83"/>
      <c r="Y84" s="83"/>
      <c r="Z84" s="83"/>
      <c r="AA84" s="83"/>
      <c r="AB84" s="83"/>
      <c r="AC84" s="83"/>
    </row>
    <row r="85" spans="2:29" x14ac:dyDescent="0.35">
      <c r="B85" s="129" t="s">
        <v>5</v>
      </c>
      <c r="C85" s="144">
        <v>19000</v>
      </c>
      <c r="D85" s="134">
        <f t="shared" si="22"/>
        <v>250</v>
      </c>
      <c r="E85" s="133">
        <v>25</v>
      </c>
      <c r="F85" s="127">
        <f t="shared" si="21"/>
        <v>3200</v>
      </c>
      <c r="G85" s="133">
        <v>192</v>
      </c>
      <c r="H85" s="125">
        <v>384</v>
      </c>
      <c r="I85" s="134">
        <v>96</v>
      </c>
      <c r="J85" s="145">
        <v>10.08</v>
      </c>
      <c r="K85" s="146">
        <v>4.6079999999999997</v>
      </c>
      <c r="L85" s="147">
        <v>2.903</v>
      </c>
      <c r="M85" s="125"/>
      <c r="N85" s="148">
        <v>1.9910000000000001</v>
      </c>
      <c r="O85" s="146">
        <v>0.1</v>
      </c>
      <c r="P85" s="145">
        <v>0.02</v>
      </c>
    </row>
    <row r="86" spans="2:29" ht="14.4" customHeight="1" x14ac:dyDescent="0.35">
      <c r="B86" s="15"/>
      <c r="C86" s="15"/>
      <c r="D86" s="16"/>
      <c r="E86" s="15"/>
      <c r="F86" s="15"/>
      <c r="G86" s="17"/>
      <c r="H86" s="15"/>
      <c r="I86" s="15"/>
      <c r="J86" s="15"/>
      <c r="K86" s="19"/>
      <c r="L86" s="19"/>
      <c r="M86" s="19"/>
      <c r="N86" s="19"/>
      <c r="O86" s="19"/>
      <c r="P86" s="19"/>
      <c r="R86" s="210"/>
      <c r="S86" s="210"/>
      <c r="T86" s="210"/>
      <c r="U86" s="210"/>
      <c r="V86" s="210"/>
      <c r="W86" s="210"/>
      <c r="X86" s="210"/>
      <c r="Y86" s="83"/>
    </row>
    <row r="87" spans="2:29" x14ac:dyDescent="0.35">
      <c r="B87" s="49" t="s">
        <v>46</v>
      </c>
      <c r="C87" s="49"/>
      <c r="D87" s="49"/>
      <c r="E87" s="49"/>
      <c r="F87" s="49"/>
      <c r="G87" s="49"/>
      <c r="H87" s="49"/>
      <c r="I87" s="49"/>
      <c r="L87" s="27"/>
      <c r="X87" s="1"/>
      <c r="Y87" s="1"/>
    </row>
    <row r="88" spans="2:29" x14ac:dyDescent="0.35">
      <c r="B88" s="52" t="s">
        <v>47</v>
      </c>
      <c r="C88" s="53" t="s">
        <v>48</v>
      </c>
      <c r="D88" s="53" t="s">
        <v>49</v>
      </c>
      <c r="E88" s="53" t="s">
        <v>13</v>
      </c>
      <c r="F88" s="53" t="s">
        <v>10</v>
      </c>
      <c r="G88" s="53" t="s">
        <v>49</v>
      </c>
      <c r="H88" s="53" t="s">
        <v>13</v>
      </c>
      <c r="I88" s="54" t="s">
        <v>26</v>
      </c>
      <c r="R88" s="3"/>
      <c r="S88" s="3"/>
      <c r="T88" s="3"/>
      <c r="U88" s="3"/>
      <c r="V88" s="3"/>
      <c r="W88" s="3"/>
      <c r="X88" s="3"/>
      <c r="Y88" s="3"/>
    </row>
    <row r="89" spans="2:29" x14ac:dyDescent="0.35">
      <c r="B89" s="55">
        <v>3</v>
      </c>
      <c r="C89" s="50" t="s">
        <v>50</v>
      </c>
      <c r="D89" s="50">
        <v>9.7600000000000006E-2</v>
      </c>
      <c r="E89" s="50">
        <v>200</v>
      </c>
      <c r="F89" s="56">
        <v>0.1</v>
      </c>
      <c r="G89" s="57">
        <f>730*D89*B89</f>
        <v>213.74400000000003</v>
      </c>
      <c r="H89" s="57">
        <f>E89*F89*B89</f>
        <v>60</v>
      </c>
      <c r="I89" s="58">
        <f>H89+G89</f>
        <v>273.74400000000003</v>
      </c>
      <c r="R89" s="3"/>
      <c r="S89" s="3"/>
      <c r="T89" s="3"/>
      <c r="U89" s="3"/>
      <c r="V89" s="3"/>
      <c r="W89" s="3"/>
      <c r="X89" s="3"/>
      <c r="Y89" s="3"/>
    </row>
    <row r="90" spans="2:29" x14ac:dyDescent="0.35">
      <c r="D90" s="2"/>
      <c r="K90" s="4"/>
      <c r="L90" s="4"/>
      <c r="M90" s="4"/>
      <c r="N90" s="4"/>
      <c r="O90" s="4"/>
      <c r="P90" s="4"/>
      <c r="R90" s="3"/>
      <c r="S90" s="3"/>
      <c r="T90" s="3"/>
      <c r="U90" s="3"/>
      <c r="V90" s="3"/>
      <c r="W90" s="3"/>
      <c r="X90" s="3"/>
      <c r="Y90" s="3"/>
    </row>
    <row r="91" spans="2:29" x14ac:dyDescent="0.35">
      <c r="B91" s="51" t="s">
        <v>95</v>
      </c>
      <c r="C91" s="51"/>
      <c r="D91" s="51"/>
      <c r="E91" s="51"/>
      <c r="F91" s="51"/>
      <c r="G91" s="51"/>
      <c r="K91" s="4"/>
      <c r="L91" s="4"/>
      <c r="M91" s="4"/>
      <c r="N91" s="4"/>
      <c r="O91" s="4"/>
      <c r="P91" s="4"/>
      <c r="R91" s="3"/>
      <c r="S91" s="3"/>
      <c r="T91" s="3"/>
      <c r="U91" s="3"/>
      <c r="V91" s="3"/>
      <c r="W91" s="3"/>
      <c r="X91" s="3"/>
      <c r="Y91" s="3"/>
    </row>
    <row r="92" spans="2:29" x14ac:dyDescent="0.35">
      <c r="B92" s="149" t="s">
        <v>27</v>
      </c>
      <c r="C92" s="95" t="s">
        <v>23</v>
      </c>
      <c r="D92" s="150" t="s">
        <v>100</v>
      </c>
      <c r="E92" s="95" t="s">
        <v>22</v>
      </c>
      <c r="F92" s="151" t="s">
        <v>24</v>
      </c>
      <c r="G92" s="151" t="s">
        <v>70</v>
      </c>
      <c r="H92" s="152" t="s">
        <v>44</v>
      </c>
      <c r="K92" s="4"/>
      <c r="L92" s="4"/>
      <c r="M92" s="4"/>
      <c r="N92" s="4"/>
      <c r="O92" s="4"/>
      <c r="P92" s="4"/>
      <c r="R92" s="3"/>
      <c r="S92" s="3"/>
      <c r="T92" s="3"/>
      <c r="U92" s="3"/>
      <c r="V92" s="3"/>
      <c r="W92" s="3"/>
      <c r="X92" s="3"/>
      <c r="Y92" s="3"/>
    </row>
    <row r="93" spans="2:29" x14ac:dyDescent="0.35">
      <c r="B93" s="22" t="s">
        <v>102</v>
      </c>
      <c r="C93" s="94">
        <f t="shared" ref="C93:C101" si="23">CEILING($C$52/D77+$C$25,$C$22)</f>
        <v>3</v>
      </c>
      <c r="D93" s="95">
        <f t="shared" ref="D93:D101" si="24">CEILING($C$55/MIN($C$54/E93*3000,16000)+$C$25,$C$22)</f>
        <v>3</v>
      </c>
      <c r="E93" s="95">
        <f t="shared" ref="E93:E101" si="25">CEILING($C$54/16+$C$25,$C$22)</f>
        <v>3</v>
      </c>
      <c r="F93" s="23">
        <f t="shared" ref="F93:F101" si="26">CEILING($C$61/F77+$C$25,$C$22)</f>
        <v>3</v>
      </c>
      <c r="G93" s="23">
        <f t="shared" ref="G93:G101" si="27">CEILING($C$71/H77+$C$25,$C$22)</f>
        <v>3</v>
      </c>
      <c r="H93" s="43">
        <f t="shared" ref="H93:H101" si="28">CEILING($C$10/(G77*IF($C$14,0.7,1))+$C$25,$C$22)</f>
        <v>3</v>
      </c>
      <c r="K93" s="4"/>
      <c r="L93" s="4"/>
      <c r="M93" s="4"/>
      <c r="N93" s="4"/>
      <c r="O93" s="4"/>
      <c r="P93" s="4"/>
      <c r="R93" s="3"/>
      <c r="S93" s="3"/>
      <c r="T93" s="3"/>
      <c r="U93" s="3"/>
      <c r="V93" s="3"/>
      <c r="W93" s="3"/>
      <c r="X93" s="3"/>
      <c r="Y93" s="3"/>
    </row>
    <row r="94" spans="2:29" x14ac:dyDescent="0.35">
      <c r="B94" s="22" t="s">
        <v>7</v>
      </c>
      <c r="C94" s="22">
        <f t="shared" si="23"/>
        <v>3</v>
      </c>
      <c r="D94" s="23">
        <f t="shared" si="24"/>
        <v>3</v>
      </c>
      <c r="E94" s="23">
        <f t="shared" si="25"/>
        <v>3</v>
      </c>
      <c r="F94" s="23">
        <f t="shared" si="26"/>
        <v>3</v>
      </c>
      <c r="G94" s="23">
        <f t="shared" si="27"/>
        <v>3</v>
      </c>
      <c r="H94" s="43">
        <f t="shared" si="28"/>
        <v>3</v>
      </c>
      <c r="K94" s="4"/>
      <c r="L94" s="4"/>
      <c r="M94" s="4"/>
      <c r="N94" s="4"/>
      <c r="O94" s="4"/>
      <c r="P94" s="4"/>
      <c r="R94" s="3"/>
      <c r="S94" s="3"/>
      <c r="T94" s="3"/>
      <c r="U94" s="3"/>
      <c r="V94" s="3"/>
      <c r="W94" s="3"/>
      <c r="X94" s="3"/>
      <c r="Y94" s="3"/>
    </row>
    <row r="95" spans="2:29" x14ac:dyDescent="0.35">
      <c r="B95" s="22" t="s">
        <v>0</v>
      </c>
      <c r="C95" s="22">
        <f t="shared" si="23"/>
        <v>3</v>
      </c>
      <c r="D95" s="23">
        <f t="shared" si="24"/>
        <v>3</v>
      </c>
      <c r="E95" s="23">
        <f t="shared" si="25"/>
        <v>3</v>
      </c>
      <c r="F95" s="23">
        <f t="shared" si="26"/>
        <v>3</v>
      </c>
      <c r="G95" s="23">
        <f t="shared" si="27"/>
        <v>3</v>
      </c>
      <c r="H95" s="43">
        <f t="shared" si="28"/>
        <v>3</v>
      </c>
      <c r="K95" s="4"/>
      <c r="L95" s="4"/>
      <c r="M95" s="4"/>
      <c r="N95" s="4"/>
      <c r="O95" s="4"/>
      <c r="P95" s="4"/>
    </row>
    <row r="96" spans="2:29" x14ac:dyDescent="0.35">
      <c r="B96" s="22" t="s">
        <v>2</v>
      </c>
      <c r="C96" s="22">
        <f t="shared" si="23"/>
        <v>3</v>
      </c>
      <c r="D96" s="23">
        <f t="shared" si="24"/>
        <v>3</v>
      </c>
      <c r="E96" s="23">
        <f t="shared" si="25"/>
        <v>3</v>
      </c>
      <c r="F96" s="23">
        <f t="shared" si="26"/>
        <v>3</v>
      </c>
      <c r="G96" s="23">
        <f t="shared" si="27"/>
        <v>3</v>
      </c>
      <c r="H96" s="43">
        <f t="shared" si="28"/>
        <v>3</v>
      </c>
      <c r="K96" s="4"/>
      <c r="L96" s="4"/>
      <c r="M96" s="4"/>
      <c r="N96" s="4"/>
      <c r="O96" s="4"/>
      <c r="P96" s="4"/>
    </row>
    <row r="97" spans="2:9" x14ac:dyDescent="0.35">
      <c r="B97" s="22" t="s">
        <v>3</v>
      </c>
      <c r="C97" s="22">
        <f t="shared" si="23"/>
        <v>3</v>
      </c>
      <c r="D97" s="23">
        <f t="shared" si="24"/>
        <v>3</v>
      </c>
      <c r="E97" s="23">
        <f t="shared" si="25"/>
        <v>3</v>
      </c>
      <c r="F97" s="23">
        <f t="shared" si="26"/>
        <v>3</v>
      </c>
      <c r="G97" s="23">
        <f t="shared" si="27"/>
        <v>3</v>
      </c>
      <c r="H97" s="43">
        <f t="shared" si="28"/>
        <v>3</v>
      </c>
    </row>
    <row r="98" spans="2:9" x14ac:dyDescent="0.35">
      <c r="B98" s="22" t="s">
        <v>106</v>
      </c>
      <c r="C98" s="22">
        <f t="shared" si="23"/>
        <v>3</v>
      </c>
      <c r="D98" s="23">
        <f t="shared" si="24"/>
        <v>3</v>
      </c>
      <c r="E98" s="23">
        <f t="shared" si="25"/>
        <v>3</v>
      </c>
      <c r="F98" s="23">
        <f t="shared" si="26"/>
        <v>3</v>
      </c>
      <c r="G98" s="23">
        <f t="shared" si="27"/>
        <v>3</v>
      </c>
      <c r="H98" s="43">
        <f t="shared" si="28"/>
        <v>3</v>
      </c>
    </row>
    <row r="99" spans="2:9" x14ac:dyDescent="0.35">
      <c r="B99" s="22" t="s">
        <v>4</v>
      </c>
      <c r="C99" s="22">
        <f t="shared" si="23"/>
        <v>3</v>
      </c>
      <c r="D99" s="23">
        <f t="shared" si="24"/>
        <v>3</v>
      </c>
      <c r="E99" s="23">
        <f t="shared" si="25"/>
        <v>3</v>
      </c>
      <c r="F99" s="23">
        <f t="shared" si="26"/>
        <v>3</v>
      </c>
      <c r="G99" s="23">
        <f t="shared" si="27"/>
        <v>3</v>
      </c>
      <c r="H99" s="43">
        <f t="shared" si="28"/>
        <v>3</v>
      </c>
    </row>
    <row r="100" spans="2:9" x14ac:dyDescent="0.35">
      <c r="B100" s="22" t="s">
        <v>107</v>
      </c>
      <c r="C100" s="22">
        <f t="shared" si="23"/>
        <v>3</v>
      </c>
      <c r="D100" s="23">
        <f t="shared" si="24"/>
        <v>3</v>
      </c>
      <c r="E100" s="23">
        <f t="shared" si="25"/>
        <v>3</v>
      </c>
      <c r="F100" s="23">
        <f t="shared" si="26"/>
        <v>3</v>
      </c>
      <c r="G100" s="23">
        <f t="shared" si="27"/>
        <v>3</v>
      </c>
      <c r="H100" s="43">
        <f t="shared" si="28"/>
        <v>3</v>
      </c>
    </row>
    <row r="101" spans="2:9" x14ac:dyDescent="0.35">
      <c r="B101" s="47" t="s">
        <v>5</v>
      </c>
      <c r="C101" s="47">
        <f t="shared" si="23"/>
        <v>3</v>
      </c>
      <c r="D101" s="48">
        <f t="shared" si="24"/>
        <v>3</v>
      </c>
      <c r="E101" s="48">
        <f t="shared" si="25"/>
        <v>3</v>
      </c>
      <c r="F101" s="48">
        <f t="shared" si="26"/>
        <v>3</v>
      </c>
      <c r="G101" s="48">
        <f t="shared" si="27"/>
        <v>3</v>
      </c>
      <c r="H101" s="44">
        <f t="shared" si="28"/>
        <v>3</v>
      </c>
    </row>
    <row r="103" spans="2:9" x14ac:dyDescent="0.35">
      <c r="B103" s="79"/>
    </row>
    <row r="104" spans="2:9" x14ac:dyDescent="0.35">
      <c r="B104" s="187" t="s">
        <v>118</v>
      </c>
      <c r="C104" s="187" t="s">
        <v>119</v>
      </c>
      <c r="I104" s="1" t="s">
        <v>120</v>
      </c>
    </row>
    <row r="105" spans="2:9" x14ac:dyDescent="0.35">
      <c r="B105" t="s">
        <v>1</v>
      </c>
      <c r="C105" s="185" t="s">
        <v>114</v>
      </c>
      <c r="I105" t="s">
        <v>117</v>
      </c>
    </row>
    <row r="106" spans="2:9" x14ac:dyDescent="0.35">
      <c r="B106" t="s">
        <v>115</v>
      </c>
      <c r="C106" s="186" t="s">
        <v>116</v>
      </c>
      <c r="I106" t="s">
        <v>121</v>
      </c>
    </row>
  </sheetData>
  <mergeCells count="15">
    <mergeCell ref="B2:G6"/>
    <mergeCell ref="F9:F10"/>
    <mergeCell ref="G9:J9"/>
    <mergeCell ref="K9:M9"/>
    <mergeCell ref="R86:X86"/>
    <mergeCell ref="C75:D75"/>
    <mergeCell ref="E75:F75"/>
    <mergeCell ref="K75:N75"/>
    <mergeCell ref="G75:I75"/>
    <mergeCell ref="F23:F24"/>
    <mergeCell ref="G23:L23"/>
    <mergeCell ref="M23:N23"/>
    <mergeCell ref="O23:P23"/>
    <mergeCell ref="Q23:R23"/>
    <mergeCell ref="B29:C30"/>
  </mergeCells>
  <dataValidations count="4">
    <dataValidation type="list" allowBlank="1" showInputMessage="1" showErrorMessage="1" sqref="C19">
      <formula1>"0,1,3"</formula1>
    </dataValidation>
    <dataValidation type="list" allowBlank="1" showInputMessage="1" showErrorMessage="1" sqref="C14 C23">
      <formula1>"TRUE,FALSE"</formula1>
    </dataValidation>
    <dataValidation type="list" allowBlank="1" showInputMessage="1" showErrorMessage="1" sqref="C22">
      <formula1>"2,3"</formula1>
    </dataValidation>
    <dataValidation type="list" allowBlank="1" showInputMessage="1" showErrorMessage="1" sqref="C39">
      <formula1>$E$11:$E$19</formula1>
    </dataValidation>
  </dataValidations>
  <hyperlinks>
    <hyperlink ref="C105" r:id="rId1"/>
    <hyperlink ref="C106" r:id="rId2"/>
  </hyperlinks>
  <pageMargins left="0.7" right="0.7" top="0.75" bottom="0.75" header="0.3" footer="0.3"/>
  <pageSetup orientation="portrait"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2"/>
  <sheetViews>
    <sheetView showGridLines="0" workbookViewId="0">
      <selection activeCell="B27" sqref="B27"/>
    </sheetView>
  </sheetViews>
  <sheetFormatPr defaultRowHeight="14.5" x14ac:dyDescent="0.35"/>
  <cols>
    <col min="1" max="1" width="4.08984375" customWidth="1"/>
    <col min="2" max="2" width="25.26953125" customWidth="1"/>
    <col min="3" max="3" width="16.90625" customWidth="1"/>
    <col min="4" max="4" width="16.6328125" customWidth="1"/>
  </cols>
  <sheetData>
    <row r="1" spans="2:7" x14ac:dyDescent="0.35">
      <c r="B1" s="1" t="s">
        <v>129</v>
      </c>
    </row>
    <row r="2" spans="2:7" x14ac:dyDescent="0.35">
      <c r="B2" s="196" t="s">
        <v>128</v>
      </c>
      <c r="C2" s="197"/>
      <c r="D2" s="197"/>
      <c r="E2" s="197"/>
      <c r="F2" s="197"/>
      <c r="G2" s="198"/>
    </row>
    <row r="3" spans="2:7" x14ac:dyDescent="0.35">
      <c r="B3" s="202"/>
      <c r="C3" s="203"/>
      <c r="D3" s="203"/>
      <c r="E3" s="203"/>
      <c r="F3" s="203"/>
      <c r="G3" s="204"/>
    </row>
    <row r="5" spans="2:7" x14ac:dyDescent="0.35">
      <c r="B5" s="12"/>
    </row>
    <row r="6" spans="2:7" x14ac:dyDescent="0.35">
      <c r="B6" s="10" t="s">
        <v>123</v>
      </c>
      <c r="C6" s="188">
        <v>1024</v>
      </c>
    </row>
    <row r="7" spans="2:7" x14ac:dyDescent="0.35">
      <c r="B7" s="10"/>
    </row>
    <row r="8" spans="2:7" ht="43.5" x14ac:dyDescent="0.35">
      <c r="B8" s="189"/>
      <c r="D8" s="194" t="s">
        <v>125</v>
      </c>
    </row>
    <row r="9" spans="2:7" x14ac:dyDescent="0.35">
      <c r="B9" s="6" t="s">
        <v>124</v>
      </c>
      <c r="C9" s="191">
        <v>1024</v>
      </c>
      <c r="D9" s="193">
        <f>$C$6*C9/(1024*1024)</f>
        <v>1</v>
      </c>
    </row>
    <row r="10" spans="2:7" x14ac:dyDescent="0.35">
      <c r="B10" s="6" t="s">
        <v>127</v>
      </c>
      <c r="C10" s="190">
        <f>C9*3600/1000000</f>
        <v>3.6863999999999999</v>
      </c>
      <c r="D10" s="193">
        <f>$C$6*C10*1000000/(3600)/(1024*1024)</f>
        <v>1</v>
      </c>
    </row>
    <row r="11" spans="2:7" x14ac:dyDescent="0.35">
      <c r="B11" s="6" t="s">
        <v>126</v>
      </c>
      <c r="C11" s="190">
        <f>C10*24</f>
        <v>88.473600000000005</v>
      </c>
      <c r="D11" s="193">
        <f>$C$6*C11*1000000/86400/(1024*1024)</f>
        <v>1</v>
      </c>
    </row>
    <row r="12" spans="2:7" x14ac:dyDescent="0.35">
      <c r="C12" s="192"/>
    </row>
  </sheetData>
  <mergeCells count="1">
    <mergeCell ref="B2:G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 Sizing Pricing</vt:lpstr>
      <vt:lpstr>Calculate Ingestion Rate</vt:lpstr>
    </vt:vector>
  </TitlesOfParts>
  <Company>Amazon.com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Reference</dc:creator>
  <cp:lastModifiedBy>Thomas, Chase</cp:lastModifiedBy>
  <dcterms:created xsi:type="dcterms:W3CDTF">2019-03-06T22:02:05Z</dcterms:created>
  <dcterms:modified xsi:type="dcterms:W3CDTF">2020-10-07T21:50:28Z</dcterms:modified>
</cp:coreProperties>
</file>